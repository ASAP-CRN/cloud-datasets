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4_slide_8_plate_H_20230823T2339_LabWorksheet.txt" sheetId="1" r:id="rId1"/>
  </sheets>
  <definedNames>
    <definedName name="_xlnm.Sheet_Title" localSheetId="0">"cleaned_DNAstack_GeoMx_round_4_slide_8_plate_H_20230823T2339_LabWorksheet.txt"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<sst xmlns="http://schemas.openxmlformats.org/spreadsheetml/2006/main" uniqueCount="100" count="100">
  <si>
    <t>GeoMx_round4_230823</t>
  </si>
  <si>
    <t>(v1.0) Human NGS Whole Transcriptome Atlas RNA</t>
  </si>
  <si>
    <t>001</t>
  </si>
  <si>
    <t>Segment 1</t>
  </si>
  <si>
    <t>Segment 1-aoi-001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</si>
  <si>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</si>
  <si>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</si>
  <si>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</si>
  <si>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</si>
  <si>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</si>
  <si>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</si>
  <si>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</si>
  <si>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</si>
  <si>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</si>
  <si>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</si>
  <si>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</si>
  <si>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</si>
  <si>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</si>
  <si>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</si>
  <si>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</si>
  <si>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</si>
  <si>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</si>
  <si>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</si>
  <si>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</si>
  <si>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</si>
  <si>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</si>
  <si>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</si>
  <si>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</si>
  <si>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</si>
  <si>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</si>
  <si>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</si>
  <si>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</si>
  <si>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</si>
  <si>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</si>
  <si>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</si>
  <si>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</si>
  <si>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</si>
  <si>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</si>
  <si>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</si>
  <si>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</si>
  <si>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</si>
  <si>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</si>
  <si>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</si>
  <si>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</si>
  <si>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</si>
  <si>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Full ROI</t>
  </si>
  <si>
    <t>Full ROI-aoi-001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</si>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</sst>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96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DSP-1001660021822-H-A01</t>
        </is>
      </c>
      <c r="B2" t="inlineStr">
        <is>
          <t>No Template Control</t>
        </is>
      </c>
      <c r="H2" s="1"/>
    </row>
    <row r="3" spans="1:9">
      <c r="A3" t="inlineStr">
        <is>
          <t>DSP-1001660021822-H-A02</t>
        </is>
      </c>
      <c r="B3" t="s">
        <v>0</v>
      </c>
      <c r="C3" t="s">
        <v>0</v>
      </c>
      <c r="D3" t="s">
        <v>1</v>
      </c>
      <c r="E3" t="s">
        <f>"001"</f>
        <v>2</v>
      </c>
      <c r="F3" t="s">
        <v>3</v>
      </c>
      <c r="G3" t="s">
        <v>4</v>
      </c>
      <c r="H3" s="1">
        <v>83408.300000000003</v>
      </c>
    </row>
    <row r="4" spans="1:9">
      <c r="A4" t="inlineStr">
        <is>
          <t>DSP-1001660021822-H-A03</t>
        </is>
      </c>
      <c r="B4" t="s">
        <v>0</v>
      </c>
      <c r="C4" t="s">
        <v>0</v>
      </c>
      <c r="D4" t="s">
        <v>1</v>
      </c>
      <c r="E4" t="s">
        <f>"002"</f>
        <v>5</v>
      </c>
      <c r="F4" t="s">
        <v>3</v>
      </c>
      <c r="G4" t="s">
        <v>4</v>
      </c>
      <c r="H4" s="1">
        <v>58299.220000000001</v>
      </c>
    </row>
    <row r="5" spans="1:9">
      <c r="A5" t="inlineStr">
        <is>
          <t>DSP-1001660021822-H-A04</t>
        </is>
      </c>
      <c r="B5" t="s">
        <v>0</v>
      </c>
      <c r="C5" t="s">
        <v>0</v>
      </c>
      <c r="D5" t="s">
        <v>1</v>
      </c>
      <c r="E5" t="s">
        <f>"003"</f>
        <v>6</v>
      </c>
      <c r="F5" t="s">
        <v>3</v>
      </c>
      <c r="G5" t="s">
        <v>4</v>
      </c>
      <c r="H5" s="1">
        <v>43933.940000000002</v>
      </c>
    </row>
    <row r="6" spans="1:9">
      <c r="A6" t="inlineStr">
        <is>
          <t>DSP-1001660021822-H-A05</t>
        </is>
      </c>
      <c r="B6" t="s">
        <v>0</v>
      </c>
      <c r="C6" t="s">
        <v>0</v>
      </c>
      <c r="D6" t="s">
        <v>1</v>
      </c>
      <c r="E6" t="s">
        <f>"004"</f>
        <v>7</v>
      </c>
      <c r="F6" t="s">
        <v>3</v>
      </c>
      <c r="G6" t="s">
        <v>4</v>
      </c>
      <c r="H6" s="1">
        <v>116420.78999999999</v>
      </c>
    </row>
    <row r="7" spans="1:9">
      <c r="A7" t="inlineStr">
        <is>
          <t>DSP-1001660021822-H-A06</t>
        </is>
      </c>
      <c r="B7" t="s">
        <v>0</v>
      </c>
      <c r="C7" t="s">
        <v>0</v>
      </c>
      <c r="D7" t="s">
        <v>1</v>
      </c>
      <c r="E7" t="s">
        <f>"005"</f>
        <v>8</v>
      </c>
      <c r="F7" t="s">
        <v>3</v>
      </c>
      <c r="G7" t="s">
        <v>4</v>
      </c>
      <c r="H7" s="1">
        <v>69957.020000000004</v>
      </c>
    </row>
    <row r="8" spans="1:9">
      <c r="A8" t="inlineStr">
        <is>
          <t>DSP-1001660021822-H-A07</t>
        </is>
      </c>
      <c r="B8" t="s">
        <v>0</v>
      </c>
      <c r="C8" t="s">
        <v>0</v>
      </c>
      <c r="D8" t="s">
        <v>1</v>
      </c>
      <c r="E8" t="s">
        <f>"006"</f>
        <v>9</v>
      </c>
      <c r="F8" t="s">
        <v>3</v>
      </c>
      <c r="G8" t="s">
        <v>4</v>
      </c>
      <c r="H8" s="1">
        <v>63533.949999999997</v>
      </c>
    </row>
    <row r="9" spans="1:9">
      <c r="A9" t="inlineStr">
        <is>
          <t>DSP-1001660021822-H-A08</t>
        </is>
      </c>
      <c r="B9" t="s">
        <v>0</v>
      </c>
      <c r="C9" t="s">
        <v>0</v>
      </c>
      <c r="D9" t="s">
        <v>1</v>
      </c>
      <c r="E9" t="s">
        <f>"007"</f>
        <v>10</v>
      </c>
      <c r="F9" t="s">
        <v>3</v>
      </c>
      <c r="G9" t="s">
        <v>4</v>
      </c>
      <c r="H9" s="1">
        <v>44153.889999999999</v>
      </c>
    </row>
    <row r="10" spans="1:9">
      <c r="A10" t="inlineStr">
        <is>
          <t>DSP-1001660021822-H-A09</t>
        </is>
      </c>
      <c r="B10" t="s">
        <v>0</v>
      </c>
      <c r="C10" t="s">
        <v>0</v>
      </c>
      <c r="D10" t="s">
        <v>1</v>
      </c>
      <c r="E10" t="s">
        <f>"008"</f>
        <v>11</v>
      </c>
      <c r="F10" t="s">
        <v>3</v>
      </c>
      <c r="G10" t="s">
        <v>4</v>
      </c>
      <c r="H10" s="1">
        <v>53921.059999999998</v>
      </c>
    </row>
    <row r="11" spans="1:9">
      <c r="A11" t="inlineStr">
        <is>
          <t>DSP-1001660021822-H-A10</t>
        </is>
      </c>
      <c r="B11" t="s">
        <v>0</v>
      </c>
      <c r="C11" t="s">
        <v>0</v>
      </c>
      <c r="D11" t="s">
        <v>1</v>
      </c>
      <c r="E11" t="s">
        <f>"009"</f>
        <v>12</v>
      </c>
      <c r="F11" t="s">
        <v>3</v>
      </c>
      <c r="G11" t="s">
        <v>4</v>
      </c>
      <c r="H11" s="1">
        <v>59496.449999999997</v>
      </c>
    </row>
    <row r="12" spans="1:9">
      <c r="A12" t="inlineStr">
        <is>
          <t>DSP-1001660021822-H-A11</t>
        </is>
      </c>
      <c r="B12" t="s">
        <v>0</v>
      </c>
      <c r="C12" t="s">
        <v>0</v>
      </c>
      <c r="D12" t="s">
        <v>1</v>
      </c>
      <c r="E12" t="s">
        <f>"010"</f>
        <v>13</v>
      </c>
      <c r="F12" t="s">
        <v>3</v>
      </c>
      <c r="G12" t="s">
        <v>4</v>
      </c>
      <c r="H12" s="1">
        <v>34106.510000000002</v>
      </c>
    </row>
    <row r="13" spans="1:9">
      <c r="A13" t="inlineStr">
        <is>
          <t>DSP-1001660021822-H-A12</t>
        </is>
      </c>
      <c r="B13" t="s">
        <v>0</v>
      </c>
      <c r="C13" t="s">
        <v>0</v>
      </c>
      <c r="D13" t="s">
        <v>1</v>
      </c>
      <c r="E13" t="s">
        <f>"011"</f>
        <v>14</v>
      </c>
      <c r="F13" t="s">
        <v>3</v>
      </c>
      <c r="G13" t="s">
        <v>4</v>
      </c>
      <c r="H13" s="1">
        <v>23916.779999999999</v>
      </c>
    </row>
    <row r="14" spans="1:9">
      <c r="A14" t="inlineStr">
        <is>
          <t>DSP-1001660021822-H-B01</t>
        </is>
      </c>
      <c r="B14" t="s">
        <v>0</v>
      </c>
      <c r="C14" t="s">
        <v>0</v>
      </c>
      <c r="D14" t="s">
        <v>1</v>
      </c>
      <c r="E14" t="s">
        <f>"012"</f>
        <v>15</v>
      </c>
      <c r="F14" t="s">
        <v>3</v>
      </c>
      <c r="G14" t="s">
        <v>4</v>
      </c>
      <c r="H14" s="1">
        <v>25414.759999999998</v>
      </c>
    </row>
    <row r="15" spans="1:9">
      <c r="A15" t="inlineStr">
        <is>
          <t>DSP-1001660021822-H-B02</t>
        </is>
      </c>
      <c r="B15" t="s">
        <v>0</v>
      </c>
      <c r="C15" t="s">
        <v>0</v>
      </c>
      <c r="D15" t="s">
        <v>1</v>
      </c>
      <c r="E15" t="s">
        <f>"013"</f>
        <v>16</v>
      </c>
      <c r="F15" t="s">
        <v>3</v>
      </c>
      <c r="G15" t="s">
        <v>4</v>
      </c>
      <c r="H15" s="1">
        <v>30491.09</v>
      </c>
    </row>
    <row r="16" spans="1:9">
      <c r="A16" t="inlineStr">
        <is>
          <t>DSP-1001660021822-H-B03</t>
        </is>
      </c>
      <c r="B16" t="s">
        <v>0</v>
      </c>
      <c r="C16" t="s">
        <v>0</v>
      </c>
      <c r="D16" t="s">
        <v>1</v>
      </c>
      <c r="E16" t="s">
        <f>"014"</f>
        <v>17</v>
      </c>
      <c r="F16" t="s">
        <v>3</v>
      </c>
      <c r="G16" t="s">
        <v>4</v>
      </c>
      <c r="H16" s="1">
        <v>20791.84</v>
      </c>
    </row>
    <row r="17" spans="1:9">
      <c r="A17" t="inlineStr">
        <is>
          <t>DSP-1001660021822-H-B04</t>
        </is>
      </c>
      <c r="B17" t="s">
        <v>0</v>
      </c>
      <c r="C17" t="s">
        <v>0</v>
      </c>
      <c r="D17" t="s">
        <v>1</v>
      </c>
      <c r="E17" t="s">
        <f>"015"</f>
        <v>18</v>
      </c>
      <c r="F17" t="s">
        <v>3</v>
      </c>
      <c r="G17" t="s">
        <v>4</v>
      </c>
      <c r="H17" s="1">
        <v>57759.440000000002</v>
      </c>
    </row>
    <row r="18" spans="1:9">
      <c r="A18" t="inlineStr">
        <is>
          <t>DSP-1001660021822-H-B05</t>
        </is>
      </c>
      <c r="B18" t="s">
        <v>0</v>
      </c>
      <c r="C18" t="s">
        <v>0</v>
      </c>
      <c r="D18" t="s">
        <v>1</v>
      </c>
      <c r="E18" t="s">
        <f>"016"</f>
        <v>19</v>
      </c>
      <c r="F18" t="s">
        <v>3</v>
      </c>
      <c r="G18" t="s">
        <v>4</v>
      </c>
      <c r="H18" s="1">
        <v>67963</v>
      </c>
    </row>
    <row r="19" spans="1:9">
      <c r="A19" t="inlineStr">
        <is>
          <t>DSP-1001660021822-H-B06</t>
        </is>
      </c>
      <c r="B19" t="s">
        <v>0</v>
      </c>
      <c r="C19" t="s">
        <v>0</v>
      </c>
      <c r="D19" t="s">
        <v>1</v>
      </c>
      <c r="E19" t="s">
        <f>"017"</f>
        <v>20</v>
      </c>
      <c r="F19" t="s">
        <v>3</v>
      </c>
      <c r="G19" t="s">
        <v>4</v>
      </c>
      <c r="H19" s="1">
        <v>39992.190000000002</v>
      </c>
    </row>
    <row r="20" spans="1:9">
      <c r="A20" t="inlineStr">
        <is>
          <t>DSP-1001660021822-H-B07</t>
        </is>
      </c>
      <c r="B20" t="s">
        <v>0</v>
      </c>
      <c r="C20" t="s">
        <v>0</v>
      </c>
      <c r="D20" t="s">
        <v>1</v>
      </c>
      <c r="E20" t="s">
        <f>"018"</f>
        <v>21</v>
      </c>
      <c r="F20" t="s">
        <v>3</v>
      </c>
      <c r="G20" t="s">
        <v>4</v>
      </c>
      <c r="H20" s="1">
        <v>49916.959999999999</v>
      </c>
    </row>
    <row r="21" spans="1:9">
      <c r="A21" t="inlineStr">
        <is>
          <t>DSP-1001660021822-H-B08</t>
        </is>
      </c>
      <c r="B21" t="s">
        <v>0</v>
      </c>
      <c r="C21" t="s">
        <v>0</v>
      </c>
      <c r="D21" t="s">
        <v>1</v>
      </c>
      <c r="E21" t="s">
        <f>"019"</f>
        <v>22</v>
      </c>
      <c r="F21" t="s">
        <v>3</v>
      </c>
      <c r="G21" t="s">
        <v>4</v>
      </c>
      <c r="H21" s="1">
        <v>51302.5</v>
      </c>
    </row>
    <row r="22" spans="1:9">
      <c r="A22" t="inlineStr">
        <is>
          <t>DSP-1001660021822-H-B09</t>
        </is>
      </c>
      <c r="B22" t="s">
        <v>0</v>
      </c>
      <c r="C22" t="s">
        <v>0</v>
      </c>
      <c r="D22" t="s">
        <v>1</v>
      </c>
      <c r="E22" t="s">
        <f>"020"</f>
        <v>23</v>
      </c>
      <c r="F22" t="s">
        <v>3</v>
      </c>
      <c r="G22" t="s">
        <v>4</v>
      </c>
      <c r="H22" s="1">
        <v>57516.110000000001</v>
      </c>
    </row>
    <row r="23" spans="1:9">
      <c r="A23" t="inlineStr">
        <is>
          <t>DSP-1001660021822-H-B10</t>
        </is>
      </c>
      <c r="B23" t="s">
        <v>0</v>
      </c>
      <c r="C23" t="s">
        <v>0</v>
      </c>
      <c r="D23" t="s">
        <v>1</v>
      </c>
      <c r="E23" t="s">
        <f>"021"</f>
        <v>24</v>
      </c>
      <c r="F23" t="s">
        <v>3</v>
      </c>
      <c r="G23" t="s">
        <v>4</v>
      </c>
      <c r="H23" s="1">
        <v>57632.370000000003</v>
      </c>
    </row>
    <row r="24" spans="1:9">
      <c r="A24" t="inlineStr">
        <is>
          <t>DSP-1001660021822-H-B11</t>
        </is>
      </c>
      <c r="B24" t="s">
        <v>0</v>
      </c>
      <c r="C24" t="s">
        <v>0</v>
      </c>
      <c r="D24" t="s">
        <v>1</v>
      </c>
      <c r="E24" t="s">
        <f>"022"</f>
        <v>25</v>
      </c>
      <c r="F24" t="s">
        <v>3</v>
      </c>
      <c r="G24" t="s">
        <v>4</v>
      </c>
      <c r="H24" s="1">
        <v>19556.43</v>
      </c>
    </row>
    <row r="25" spans="1:9">
      <c r="A25" t="inlineStr">
        <is>
          <t>DSP-1001660021822-H-B12</t>
        </is>
      </c>
      <c r="B25" t="s">
        <v>0</v>
      </c>
      <c r="C25" t="s">
        <v>0</v>
      </c>
      <c r="D25" t="s">
        <v>1</v>
      </c>
      <c r="E25" t="s">
        <f>"023"</f>
        <v>26</v>
      </c>
      <c r="F25" t="s">
        <v>3</v>
      </c>
      <c r="G25" t="s">
        <v>4</v>
      </c>
      <c r="H25" s="1">
        <v>28411.349999999999</v>
      </c>
    </row>
    <row r="26" spans="1:9">
      <c r="A26" t="inlineStr">
        <is>
          <t>DSP-1001660021822-H-C01</t>
        </is>
      </c>
      <c r="B26" t="s">
        <v>0</v>
      </c>
      <c r="C26" t="s">
        <v>0</v>
      </c>
      <c r="D26" t="s">
        <v>1</v>
      </c>
      <c r="E26" t="s">
        <f>"024"</f>
        <v>27</v>
      </c>
      <c r="F26" t="s">
        <v>3</v>
      </c>
      <c r="G26" t="s">
        <v>4</v>
      </c>
      <c r="H26" s="1">
        <v>47191.360000000001</v>
      </c>
    </row>
    <row r="27" spans="1:9">
      <c r="A27" t="inlineStr">
        <is>
          <t>DSP-1001660021822-H-C02</t>
        </is>
      </c>
      <c r="B27" t="s">
        <v>0</v>
      </c>
      <c r="C27" t="s">
        <v>0</v>
      </c>
      <c r="D27" t="s">
        <v>1</v>
      </c>
      <c r="E27" t="s">
        <f>"025"</f>
        <v>28</v>
      </c>
      <c r="F27" t="s">
        <v>3</v>
      </c>
      <c r="G27" t="s">
        <v>4</v>
      </c>
      <c r="H27" s="1">
        <v>7635.5799999999999</v>
      </c>
    </row>
    <row r="28" spans="1:9">
      <c r="A28" t="inlineStr">
        <is>
          <t>DSP-1001660021822-H-C03</t>
        </is>
      </c>
      <c r="B28" t="s">
        <v>0</v>
      </c>
      <c r="C28" t="s">
        <v>0</v>
      </c>
      <c r="D28" t="s">
        <v>1</v>
      </c>
      <c r="E28" t="s">
        <f>"026"</f>
        <v>29</v>
      </c>
      <c r="F28" t="s">
        <v>3</v>
      </c>
      <c r="G28" t="s">
        <v>4</v>
      </c>
      <c r="H28" s="1">
        <v>72627.270000000004</v>
      </c>
    </row>
    <row r="29" spans="1:9">
      <c r="A29" t="inlineStr">
        <is>
          <t>DSP-1001660021822-H-C04</t>
        </is>
      </c>
      <c r="B29" t="s">
        <v>0</v>
      </c>
      <c r="C29" t="s">
        <v>0</v>
      </c>
      <c r="D29" t="s">
        <v>1</v>
      </c>
      <c r="E29" t="s">
        <f>"027"</f>
        <v>30</v>
      </c>
      <c r="F29" t="s">
        <v>3</v>
      </c>
      <c r="G29" t="s">
        <v>4</v>
      </c>
      <c r="H29" s="1">
        <v>26869</v>
      </c>
    </row>
    <row r="30" spans="1:9">
      <c r="A30" t="inlineStr">
        <is>
          <t>DSP-1001660021822-H-C05</t>
        </is>
      </c>
      <c r="B30" t="s">
        <v>0</v>
      </c>
      <c r="C30" t="s">
        <v>0</v>
      </c>
      <c r="D30" t="s">
        <v>1</v>
      </c>
      <c r="E30" t="s">
        <f>"028"</f>
        <v>31</v>
      </c>
      <c r="F30" t="s">
        <v>3</v>
      </c>
      <c r="G30" t="s">
        <v>4</v>
      </c>
      <c r="H30" s="1">
        <v>49082.480000000003</v>
      </c>
    </row>
    <row r="31" spans="1:9">
      <c r="A31" t="inlineStr">
        <is>
          <t>DSP-1001660021822-H-C06</t>
        </is>
      </c>
      <c r="B31" t="s">
        <v>0</v>
      </c>
      <c r="C31" t="s">
        <v>0</v>
      </c>
      <c r="D31" t="s">
        <v>1</v>
      </c>
      <c r="E31" t="s">
        <f>"029"</f>
        <v>32</v>
      </c>
      <c r="F31" t="s">
        <v>3</v>
      </c>
      <c r="G31" t="s">
        <v>4</v>
      </c>
      <c r="H31" s="1">
        <v>57314.769999999997</v>
      </c>
    </row>
    <row r="32" spans="1:9">
      <c r="A32" t="inlineStr">
        <is>
          <t>DSP-1001660021822-H-C07</t>
        </is>
      </c>
      <c r="B32" t="s">
        <v>0</v>
      </c>
      <c r="C32" t="s">
        <v>0</v>
      </c>
      <c r="D32" t="s">
        <v>1</v>
      </c>
      <c r="E32" t="s">
        <f>"030"</f>
        <v>33</v>
      </c>
      <c r="F32" t="s">
        <v>3</v>
      </c>
      <c r="G32" t="s">
        <v>4</v>
      </c>
      <c r="H32" s="1">
        <v>38574.360000000001</v>
      </c>
    </row>
    <row r="33" spans="1:9">
      <c r="A33" t="inlineStr">
        <is>
          <t>DSP-1001660021822-H-C08</t>
        </is>
      </c>
      <c r="B33" t="s">
        <v>0</v>
      </c>
      <c r="C33" t="s">
        <v>0</v>
      </c>
      <c r="D33" t="s">
        <v>1</v>
      </c>
      <c r="E33" t="s">
        <f>"031"</f>
        <v>34</v>
      </c>
      <c r="F33" t="s">
        <v>3</v>
      </c>
      <c r="G33" t="s">
        <v>4</v>
      </c>
      <c r="H33" s="1">
        <v>60855.120000000003</v>
      </c>
    </row>
    <row r="34" spans="1:9">
      <c r="A34" t="inlineStr">
        <is>
          <t>DSP-1001660021822-H-C09</t>
        </is>
      </c>
      <c r="B34" t="s">
        <v>0</v>
      </c>
      <c r="C34" t="s">
        <v>0</v>
      </c>
      <c r="D34" t="s">
        <v>1</v>
      </c>
      <c r="E34" t="s">
        <f>"032"</f>
        <v>35</v>
      </c>
      <c r="F34" t="s">
        <v>3</v>
      </c>
      <c r="G34" t="s">
        <v>4</v>
      </c>
      <c r="H34" s="1">
        <v>55102.870000000003</v>
      </c>
    </row>
    <row r="35" spans="1:9">
      <c r="A35" t="inlineStr">
        <is>
          <t>DSP-1001660021822-H-C10</t>
        </is>
      </c>
      <c r="B35" t="s">
        <v>0</v>
      </c>
      <c r="C35" t="s">
        <v>0</v>
      </c>
      <c r="D35" t="s">
        <v>1</v>
      </c>
      <c r="E35" t="s">
        <f>"033"</f>
        <v>36</v>
      </c>
      <c r="F35" t="s">
        <v>3</v>
      </c>
      <c r="G35" t="s">
        <v>4</v>
      </c>
      <c r="H35" s="1">
        <v>51046.290000000001</v>
      </c>
    </row>
    <row r="36" spans="1:9">
      <c r="A36" t="inlineStr">
        <is>
          <t>DSP-1001660021822-H-C11</t>
        </is>
      </c>
      <c r="B36" t="s">
        <v>0</v>
      </c>
      <c r="C36" t="s">
        <v>0</v>
      </c>
      <c r="D36" t="s">
        <v>1</v>
      </c>
      <c r="E36" t="s">
        <f>"034"</f>
        <v>37</v>
      </c>
      <c r="F36" t="s">
        <v>3</v>
      </c>
      <c r="G36" t="s">
        <v>4</v>
      </c>
      <c r="H36" s="1">
        <v>47182.459999999999</v>
      </c>
    </row>
    <row r="37" spans="1:9">
      <c r="A37" t="inlineStr">
        <is>
          <t>DSP-1001660021822-H-C12</t>
        </is>
      </c>
      <c r="B37" t="s">
        <v>0</v>
      </c>
      <c r="C37" t="s">
        <v>0</v>
      </c>
      <c r="D37" t="s">
        <v>1</v>
      </c>
      <c r="E37" t="s">
        <f>"035"</f>
        <v>38</v>
      </c>
      <c r="F37" t="s">
        <v>3</v>
      </c>
      <c r="G37" t="s">
        <v>4</v>
      </c>
      <c r="H37" s="1">
        <v>59852.379999999997</v>
      </c>
    </row>
    <row r="38" spans="1:9">
      <c r="A38" t="inlineStr">
        <is>
          <t>DSP-1001660021822-H-D01</t>
        </is>
      </c>
      <c r="B38" t="s">
        <v>0</v>
      </c>
      <c r="C38" t="s">
        <v>0</v>
      </c>
      <c r="D38" t="s">
        <v>1</v>
      </c>
      <c r="E38" t="s">
        <f>"036"</f>
        <v>39</v>
      </c>
      <c r="F38" t="s">
        <v>3</v>
      </c>
      <c r="G38" t="s">
        <v>4</v>
      </c>
      <c r="H38" s="1">
        <v>49118.900000000001</v>
      </c>
    </row>
    <row r="39" spans="1:9">
      <c r="A39" t="inlineStr">
        <is>
          <t>DSP-1001660021822-H-D02</t>
        </is>
      </c>
      <c r="B39" t="s">
        <v>0</v>
      </c>
      <c r="C39" t="s">
        <v>0</v>
      </c>
      <c r="D39" t="s">
        <v>1</v>
      </c>
      <c r="E39" t="s">
        <f>"037"</f>
        <v>40</v>
      </c>
      <c r="F39" t="s">
        <v>3</v>
      </c>
      <c r="G39" t="s">
        <v>4</v>
      </c>
      <c r="H39" s="1">
        <v>67224.110000000001</v>
      </c>
    </row>
    <row r="40" spans="1:9">
      <c r="A40" t="inlineStr">
        <is>
          <t>DSP-1001660021822-H-D03</t>
        </is>
      </c>
      <c r="B40" t="s">
        <v>0</v>
      </c>
      <c r="C40" t="s">
        <v>0</v>
      </c>
      <c r="D40" t="s">
        <v>1</v>
      </c>
      <c r="E40" t="s">
        <f>"038"</f>
        <v>41</v>
      </c>
      <c r="F40" t="s">
        <v>3</v>
      </c>
      <c r="G40" t="s">
        <v>4</v>
      </c>
      <c r="H40" s="1">
        <v>47440.57</v>
      </c>
    </row>
    <row r="41" spans="1:9">
      <c r="A41" t="inlineStr">
        <is>
          <t>DSP-1001660021822-H-D04</t>
        </is>
      </c>
      <c r="B41" t="s">
        <v>0</v>
      </c>
      <c r="C41" t="s">
        <v>0</v>
      </c>
      <c r="D41" t="s">
        <v>1</v>
      </c>
      <c r="E41" t="s">
        <f>"039"</f>
        <v>42</v>
      </c>
      <c r="F41" t="s">
        <v>3</v>
      </c>
      <c r="G41" t="s">
        <v>4</v>
      </c>
      <c r="H41" s="1">
        <v>30973.299999999999</v>
      </c>
    </row>
    <row r="42" spans="1:9">
      <c r="A42" t="inlineStr">
        <is>
          <t>DSP-1001660021822-H-D05</t>
        </is>
      </c>
      <c r="B42" t="s">
        <v>0</v>
      </c>
      <c r="C42" t="s">
        <v>0</v>
      </c>
      <c r="D42" t="s">
        <v>1</v>
      </c>
      <c r="E42" t="s">
        <f>"040"</f>
        <v>43</v>
      </c>
      <c r="F42" t="s">
        <v>3</v>
      </c>
      <c r="G42" t="s">
        <v>4</v>
      </c>
      <c r="H42" s="1">
        <v>36581.459999999999</v>
      </c>
    </row>
    <row r="43" spans="1:9">
      <c r="A43" t="inlineStr">
        <is>
          <t>DSP-1001660021822-H-D06</t>
        </is>
      </c>
      <c r="B43" t="s">
        <v>0</v>
      </c>
      <c r="C43" t="s">
        <v>0</v>
      </c>
      <c r="D43" t="s">
        <v>1</v>
      </c>
      <c r="E43" t="s">
        <f>"041"</f>
        <v>44</v>
      </c>
      <c r="F43" t="s">
        <v>45</v>
      </c>
      <c r="G43" t="s">
        <v>46</v>
      </c>
      <c r="H43" s="1">
        <v>282533.16999999998</v>
      </c>
    </row>
    <row r="44" spans="1:9">
      <c r="A44" t="inlineStr">
        <is>
          <t>DSP-1001660021822-H-D07</t>
        </is>
      </c>
      <c r="B44" t="s">
        <v>0</v>
      </c>
      <c r="C44" t="s">
        <v>0</v>
      </c>
      <c r="D44" t="s">
        <v>1</v>
      </c>
      <c r="E44" t="s">
        <f>"042"</f>
        <v>47</v>
      </c>
      <c r="F44" t="s">
        <v>45</v>
      </c>
      <c r="G44" t="s">
        <v>46</v>
      </c>
      <c r="H44" s="1">
        <v>282533.16999999998</v>
      </c>
    </row>
    <row r="45" spans="1:9">
      <c r="A45" t="inlineStr">
        <is>
          <t>DSP-1001660021822-H-D08</t>
        </is>
      </c>
      <c r="B45" t="s">
        <v>0</v>
      </c>
      <c r="C45" t="s">
        <v>0</v>
      </c>
      <c r="D45" t="s">
        <v>1</v>
      </c>
      <c r="E45" t="s">
        <f>"043"</f>
        <v>48</v>
      </c>
      <c r="F45" t="s">
        <v>45</v>
      </c>
      <c r="G45" t="s">
        <v>46</v>
      </c>
      <c r="H45" s="1">
        <v>282533.16999999998</v>
      </c>
    </row>
    <row r="46" spans="1:9">
      <c r="A46" t="inlineStr">
        <is>
          <t>DSP-1001660021822-H-D09</t>
        </is>
      </c>
      <c r="B46" t="s">
        <v>0</v>
      </c>
      <c r="C46" t="s">
        <v>0</v>
      </c>
      <c r="D46" t="s">
        <v>1</v>
      </c>
      <c r="E46" t="s">
        <f>"044"</f>
        <v>49</v>
      </c>
      <c r="F46" t="s">
        <v>45</v>
      </c>
      <c r="G46" t="s">
        <v>46</v>
      </c>
      <c r="H46" s="1">
        <v>282533.16999999998</v>
      </c>
    </row>
    <row r="47" spans="1:9">
      <c r="A47" t="inlineStr">
        <is>
          <t>DSP-1001660021822-H-D10</t>
        </is>
      </c>
      <c r="B47" t="s">
        <v>0</v>
      </c>
      <c r="C47" t="s">
        <v>0</v>
      </c>
      <c r="D47" t="s">
        <v>1</v>
      </c>
      <c r="E47" t="s">
        <f>"045"</f>
        <v>50</v>
      </c>
      <c r="F47" t="s">
        <v>45</v>
      </c>
      <c r="G47" t="s">
        <v>46</v>
      </c>
      <c r="H47" s="1">
        <v>282533.16999999998</v>
      </c>
    </row>
    <row r="48" spans="1:9">
      <c r="A48" t="inlineStr">
        <is>
          <t>DSP-1001660021822-H-D11</t>
        </is>
      </c>
      <c r="B48" t="s">
        <v>0</v>
      </c>
      <c r="C48" t="s">
        <v>0</v>
      </c>
      <c r="D48" t="s">
        <v>1</v>
      </c>
      <c r="E48" t="s">
        <f>"046"</f>
        <v>51</v>
      </c>
      <c r="F48" t="s">
        <v>45</v>
      </c>
      <c r="G48" t="s">
        <v>46</v>
      </c>
      <c r="H48" s="1">
        <v>160545.10000000001</v>
      </c>
    </row>
    <row r="49" spans="1:9">
      <c r="A49" t="inlineStr">
        <is>
          <t>DSP-1001660021822-H-D12</t>
        </is>
      </c>
      <c r="B49" t="s">
        <v>0</v>
      </c>
      <c r="C49" t="s">
        <v>0</v>
      </c>
      <c r="D49" t="s">
        <v>1</v>
      </c>
      <c r="E49" t="s">
        <f>"047"</f>
        <v>52</v>
      </c>
      <c r="F49" t="s">
        <v>45</v>
      </c>
      <c r="G49" t="s">
        <v>46</v>
      </c>
      <c r="H49" s="1">
        <v>169954.10999999999</v>
      </c>
    </row>
    <row r="50" spans="1:9">
      <c r="A50" t="inlineStr">
        <is>
          <t>DSP-1001660021822-H-E01</t>
        </is>
      </c>
      <c r="B50" t="s">
        <v>0</v>
      </c>
      <c r="C50" t="s">
        <v>0</v>
      </c>
      <c r="D50" t="s">
        <v>1</v>
      </c>
      <c r="E50" t="s">
        <f>"048"</f>
        <v>53</v>
      </c>
      <c r="F50" t="s">
        <v>45</v>
      </c>
      <c r="G50" t="s">
        <v>46</v>
      </c>
      <c r="H50" s="1">
        <v>167283.22</v>
      </c>
    </row>
    <row r="51" spans="1:9">
      <c r="A51" t="inlineStr">
        <is>
          <t>DSP-1001660021822-H-E02</t>
        </is>
      </c>
      <c r="B51" t="s">
        <v>0</v>
      </c>
      <c r="C51" t="s">
        <v>0</v>
      </c>
      <c r="D51" t="s">
        <v>1</v>
      </c>
      <c r="E51" t="s">
        <f>"049"</f>
        <v>54</v>
      </c>
      <c r="F51" t="s">
        <v>45</v>
      </c>
      <c r="G51" t="s">
        <v>46</v>
      </c>
      <c r="H51" s="1">
        <v>335233.77000000002</v>
      </c>
    </row>
    <row r="52" spans="1:9">
      <c r="A52" t="inlineStr">
        <is>
          <t>DSP-1001660021822-H-E03</t>
        </is>
      </c>
      <c r="B52" t="s">
        <v>0</v>
      </c>
      <c r="C52" t="s">
        <v>0</v>
      </c>
      <c r="D52" t="s">
        <v>1</v>
      </c>
      <c r="E52" t="s">
        <f>"050"</f>
        <v>55</v>
      </c>
      <c r="F52" t="s">
        <v>45</v>
      </c>
      <c r="G52" t="s">
        <v>46</v>
      </c>
      <c r="H52" s="1">
        <v>282533.16999999998</v>
      </c>
    </row>
    <row r="53" spans="1:9">
      <c r="A53" t="inlineStr">
        <is>
          <t>DSP-1001660021822-H-E04</t>
        </is>
      </c>
      <c r="B53" t="s">
        <v>0</v>
      </c>
      <c r="C53" t="s">
        <v>0</v>
      </c>
      <c r="D53" t="s">
        <v>1</v>
      </c>
      <c r="E53" t="s">
        <f>"051"</f>
        <v>56</v>
      </c>
      <c r="F53" t="s">
        <v>45</v>
      </c>
      <c r="G53" t="s">
        <v>46</v>
      </c>
      <c r="H53" s="1">
        <v>282533.16999999998</v>
      </c>
    </row>
    <row r="54" spans="1:9">
      <c r="A54" t="inlineStr">
        <is>
          <t>DSP-1001660021822-H-E05</t>
        </is>
      </c>
      <c r="B54" t="s">
        <v>0</v>
      </c>
      <c r="C54" t="s">
        <v>0</v>
      </c>
      <c r="D54" t="s">
        <v>1</v>
      </c>
      <c r="E54" t="s">
        <f>"052"</f>
        <v>57</v>
      </c>
      <c r="F54" t="s">
        <v>45</v>
      </c>
      <c r="G54" t="s">
        <v>46</v>
      </c>
      <c r="H54" s="1">
        <v>282533.16999999998</v>
      </c>
    </row>
    <row r="55" spans="1:9">
      <c r="A55" t="inlineStr">
        <is>
          <t>DSP-1001660021822-H-E06</t>
        </is>
      </c>
      <c r="B55" t="s">
        <v>0</v>
      </c>
      <c r="C55" t="s">
        <v>0</v>
      </c>
      <c r="D55" t="s">
        <v>1</v>
      </c>
      <c r="E55" t="s">
        <f>"053"</f>
        <v>58</v>
      </c>
      <c r="F55" t="s">
        <v>45</v>
      </c>
      <c r="G55" t="s">
        <v>46</v>
      </c>
      <c r="H55" s="1">
        <v>282533.16999999998</v>
      </c>
    </row>
    <row r="56" spans="1:9">
      <c r="A56" t="inlineStr">
        <is>
          <t>DSP-1001660021822-H-E07</t>
        </is>
      </c>
      <c r="B56" t="s">
        <v>0</v>
      </c>
      <c r="C56" t="s">
        <v>0</v>
      </c>
      <c r="D56" t="s">
        <v>1</v>
      </c>
      <c r="E56" t="s">
        <f>"054"</f>
        <v>59</v>
      </c>
      <c r="F56" t="s">
        <v>45</v>
      </c>
      <c r="G56" t="s">
        <v>46</v>
      </c>
      <c r="H56" s="1">
        <v>282533.16999999998</v>
      </c>
    </row>
    <row r="57" spans="1:9">
      <c r="A57" t="inlineStr">
        <is>
          <t>DSP-1001660021822-H-E08</t>
        </is>
      </c>
      <c r="B57" t="s">
        <v>0</v>
      </c>
      <c r="C57" t="s">
        <v>0</v>
      </c>
      <c r="D57" t="s">
        <v>1</v>
      </c>
      <c r="E57" t="s">
        <f>"055"</f>
        <v>60</v>
      </c>
      <c r="F57" t="s">
        <v>45</v>
      </c>
      <c r="G57" t="s">
        <v>46</v>
      </c>
      <c r="H57" s="1">
        <v>282533.16999999998</v>
      </c>
    </row>
    <row r="58" spans="1:9">
      <c r="A58" t="inlineStr">
        <is>
          <t>DSP-1001660021822-H-E09</t>
        </is>
      </c>
      <c r="B58" t="s">
        <v>0</v>
      </c>
      <c r="C58" t="s">
        <v>0</v>
      </c>
      <c r="D58" t="s">
        <v>1</v>
      </c>
      <c r="E58" t="s">
        <f>"056"</f>
        <v>61</v>
      </c>
      <c r="F58" t="s">
        <v>45</v>
      </c>
      <c r="G58" t="s">
        <v>46</v>
      </c>
      <c r="H58" s="1">
        <v>282533.16999999998</v>
      </c>
    </row>
    <row r="59" spans="1:9">
      <c r="A59" t="inlineStr">
        <is>
          <t>DSP-1001660021822-H-E10</t>
        </is>
      </c>
      <c r="B59" t="s">
        <v>0</v>
      </c>
      <c r="C59" t="s">
        <v>0</v>
      </c>
      <c r="D59" t="s">
        <v>1</v>
      </c>
      <c r="E59" t="s">
        <f>"057"</f>
        <v>62</v>
      </c>
      <c r="F59" t="s">
        <v>45</v>
      </c>
      <c r="G59" t="s">
        <v>46</v>
      </c>
      <c r="H59" s="1">
        <v>342488.92999999999</v>
      </c>
    </row>
    <row r="60" spans="1:9">
      <c r="A60" t="inlineStr">
        <is>
          <t>DSP-1001660021822-H-E11</t>
        </is>
      </c>
      <c r="B60" t="s">
        <v>0</v>
      </c>
      <c r="C60" t="s">
        <v>0</v>
      </c>
      <c r="D60" t="s">
        <v>1</v>
      </c>
      <c r="E60" t="s">
        <f>"058"</f>
        <v>63</v>
      </c>
      <c r="F60" t="s">
        <v>45</v>
      </c>
      <c r="G60" t="s">
        <v>46</v>
      </c>
      <c r="H60" s="1">
        <v>282533.16999999998</v>
      </c>
    </row>
    <row r="61" spans="1:9">
      <c r="A61" t="inlineStr">
        <is>
          <t>DSP-1001660021822-H-E12</t>
        </is>
      </c>
      <c r="B61" t="s">
        <v>0</v>
      </c>
      <c r="C61" t="s">
        <v>0</v>
      </c>
      <c r="D61" t="s">
        <v>1</v>
      </c>
      <c r="E61" t="s">
        <f>"059"</f>
        <v>64</v>
      </c>
      <c r="F61" t="s">
        <v>45</v>
      </c>
      <c r="G61" t="s">
        <v>46</v>
      </c>
      <c r="H61" s="1">
        <v>282533.16999999998</v>
      </c>
    </row>
    <row r="62" spans="1:9">
      <c r="A62" t="inlineStr">
        <is>
          <t>DSP-1001660021822-H-F01</t>
        </is>
      </c>
      <c r="B62" t="s">
        <v>0</v>
      </c>
      <c r="C62" t="s">
        <v>0</v>
      </c>
      <c r="D62" t="s">
        <v>1</v>
      </c>
      <c r="E62" t="s">
        <f>"060"</f>
        <v>65</v>
      </c>
      <c r="F62" t="s">
        <v>45</v>
      </c>
      <c r="G62" t="s">
        <v>46</v>
      </c>
      <c r="H62" s="1">
        <v>282533.16999999998</v>
      </c>
    </row>
    <row r="63" spans="1:9">
      <c r="A63" t="inlineStr">
        <is>
          <t>DSP-1001660021822-H-F02</t>
        </is>
      </c>
      <c r="B63" t="s">
        <v>0</v>
      </c>
      <c r="C63" t="s">
        <v>0</v>
      </c>
      <c r="D63" t="s">
        <v>1</v>
      </c>
      <c r="E63" t="s">
        <f>"061"</f>
        <v>66</v>
      </c>
      <c r="F63" t="s">
        <v>45</v>
      </c>
      <c r="G63" t="s">
        <v>46</v>
      </c>
      <c r="H63" s="1">
        <v>282533.16999999998</v>
      </c>
    </row>
    <row r="64" spans="1:9">
      <c r="A64" t="inlineStr">
        <is>
          <t>DSP-1001660021822-H-F03</t>
        </is>
      </c>
      <c r="B64" t="s">
        <v>0</v>
      </c>
      <c r="C64" t="s">
        <v>0</v>
      </c>
      <c r="D64" t="s">
        <v>1</v>
      </c>
      <c r="E64" t="s">
        <f>"062"</f>
        <v>67</v>
      </c>
      <c r="F64" t="s">
        <v>45</v>
      </c>
      <c r="G64" t="s">
        <v>46</v>
      </c>
      <c r="H64" s="1">
        <v>282533.16999999998</v>
      </c>
    </row>
    <row r="65" spans="1:9">
      <c r="A65" t="inlineStr">
        <is>
          <t>DSP-1001660021822-H-F04</t>
        </is>
      </c>
      <c r="B65" t="s">
        <v>0</v>
      </c>
      <c r="C65" t="s">
        <v>0</v>
      </c>
      <c r="D65" t="s">
        <v>1</v>
      </c>
      <c r="E65" t="s">
        <f>"063"</f>
        <v>68</v>
      </c>
      <c r="F65" t="s">
        <v>45</v>
      </c>
      <c r="G65" t="s">
        <v>46</v>
      </c>
      <c r="H65" s="1">
        <v>125402.3</v>
      </c>
    </row>
    <row r="66" spans="1:9">
      <c r="A66" t="inlineStr">
        <is>
          <t>DSP-1001660021822-H-F05</t>
        </is>
      </c>
      <c r="B66" t="s">
        <v>0</v>
      </c>
      <c r="C66" t="s">
        <v>0</v>
      </c>
      <c r="D66" t="s">
        <v>1</v>
      </c>
      <c r="E66" t="s">
        <f>"064"</f>
        <v>69</v>
      </c>
      <c r="F66" t="s">
        <v>45</v>
      </c>
      <c r="G66" t="s">
        <v>46</v>
      </c>
      <c r="H66" s="1">
        <v>282533.16999999998</v>
      </c>
    </row>
    <row r="67" spans="1:9">
      <c r="A67" t="inlineStr">
        <is>
          <t>DSP-1001660021822-H-F06</t>
        </is>
      </c>
      <c r="B67" t="s">
        <v>0</v>
      </c>
      <c r="C67" t="s">
        <v>0</v>
      </c>
      <c r="D67" t="s">
        <v>1</v>
      </c>
      <c r="E67" t="s">
        <f>"065"</f>
        <v>70</v>
      </c>
      <c r="F67" t="s">
        <v>45</v>
      </c>
      <c r="G67" t="s">
        <v>46</v>
      </c>
      <c r="H67" s="1">
        <v>282533.16999999998</v>
      </c>
    </row>
    <row r="68" spans="1:9">
      <c r="A68" t="inlineStr">
        <is>
          <t>DSP-1001660021822-H-F07</t>
        </is>
      </c>
      <c r="B68" t="s">
        <v>0</v>
      </c>
      <c r="C68" t="s">
        <v>0</v>
      </c>
      <c r="D68" t="s">
        <v>1</v>
      </c>
      <c r="E68" t="s">
        <f>"066"</f>
        <v>71</v>
      </c>
      <c r="F68" t="s">
        <v>45</v>
      </c>
      <c r="G68" t="s">
        <v>46</v>
      </c>
      <c r="H68" s="1">
        <v>212356.35999999999</v>
      </c>
    </row>
    <row r="69" spans="1:9">
      <c r="A69" t="inlineStr">
        <is>
          <t>DSP-1001660021822-H-F08</t>
        </is>
      </c>
      <c r="B69" t="s">
        <v>0</v>
      </c>
      <c r="C69" t="s">
        <v>0</v>
      </c>
      <c r="D69" t="s">
        <v>1</v>
      </c>
      <c r="E69" t="s">
        <f>"067"</f>
        <v>72</v>
      </c>
      <c r="F69" t="s">
        <v>45</v>
      </c>
      <c r="G69" t="s">
        <v>46</v>
      </c>
      <c r="H69" s="1">
        <v>282533.16999999998</v>
      </c>
    </row>
    <row r="70" spans="1:9">
      <c r="A70" t="inlineStr">
        <is>
          <t>DSP-1001660021822-H-F09</t>
        </is>
      </c>
      <c r="B70" t="s">
        <v>0</v>
      </c>
      <c r="C70" t="s">
        <v>0</v>
      </c>
      <c r="D70" t="s">
        <v>1</v>
      </c>
      <c r="E70" t="s">
        <f>"068"</f>
        <v>73</v>
      </c>
      <c r="F70" t="s">
        <v>45</v>
      </c>
      <c r="G70" t="s">
        <v>46</v>
      </c>
      <c r="H70" s="1">
        <v>282533.16999999998</v>
      </c>
    </row>
    <row r="71" spans="1:9">
      <c r="A71" t="inlineStr">
        <is>
          <t>DSP-1001660021822-H-F10</t>
        </is>
      </c>
      <c r="B71" t="s">
        <v>0</v>
      </c>
      <c r="C71" t="s">
        <v>0</v>
      </c>
      <c r="D71" t="s">
        <v>1</v>
      </c>
      <c r="E71" t="s">
        <f>"069"</f>
        <v>74</v>
      </c>
      <c r="F71" t="s">
        <v>45</v>
      </c>
      <c r="G71" t="s">
        <v>46</v>
      </c>
      <c r="H71" s="1">
        <v>282533.16999999998</v>
      </c>
    </row>
    <row r="72" spans="1:9">
      <c r="A72" t="inlineStr">
        <is>
          <t>DSP-1001660021822-H-F11</t>
        </is>
      </c>
      <c r="B72" t="s">
        <v>0</v>
      </c>
      <c r="C72" t="s">
        <v>0</v>
      </c>
      <c r="D72" t="s">
        <v>1</v>
      </c>
      <c r="E72" t="s">
        <f>"070"</f>
        <v>75</v>
      </c>
      <c r="F72" t="s">
        <v>45</v>
      </c>
      <c r="G72" t="s">
        <v>46</v>
      </c>
      <c r="H72" s="1">
        <v>282533.16999999998</v>
      </c>
    </row>
    <row r="73" spans="1:9">
      <c r="A73" t="inlineStr">
        <is>
          <t>DSP-1001660021822-H-F12</t>
        </is>
      </c>
      <c r="B73" t="s">
        <v>0</v>
      </c>
      <c r="C73" t="s">
        <v>0</v>
      </c>
      <c r="D73" t="s">
        <v>1</v>
      </c>
      <c r="E73" t="s">
        <f>"071"</f>
        <v>76</v>
      </c>
      <c r="F73" t="s">
        <v>45</v>
      </c>
      <c r="G73" t="s">
        <v>46</v>
      </c>
      <c r="H73" s="1">
        <v>282533.16999999998</v>
      </c>
    </row>
    <row r="74" spans="1:9">
      <c r="A74" t="inlineStr">
        <is>
          <t>DSP-1001660021822-H-G01</t>
        </is>
      </c>
      <c r="B74" t="s">
        <v>0</v>
      </c>
      <c r="C74" t="s">
        <v>0</v>
      </c>
      <c r="D74" t="s">
        <v>1</v>
      </c>
      <c r="E74" t="s">
        <f>"072"</f>
        <v>77</v>
      </c>
      <c r="F74" t="s">
        <v>45</v>
      </c>
      <c r="G74" t="s">
        <v>46</v>
      </c>
      <c r="H74" s="1">
        <v>282533.16999999998</v>
      </c>
    </row>
    <row r="75" spans="1:9">
      <c r="A75" t="inlineStr">
        <is>
          <t>DSP-1001660021822-H-G02</t>
        </is>
      </c>
      <c r="B75" t="s">
        <v>0</v>
      </c>
      <c r="C75" t="s">
        <v>0</v>
      </c>
      <c r="D75" t="s">
        <v>1</v>
      </c>
      <c r="E75" t="s">
        <f>"073"</f>
        <v>78</v>
      </c>
      <c r="F75" t="s">
        <v>45</v>
      </c>
      <c r="G75" t="s">
        <v>46</v>
      </c>
      <c r="H75" s="1">
        <v>125402.3</v>
      </c>
    </row>
    <row r="76" spans="1:9">
      <c r="A76" t="inlineStr">
        <is>
          <t>DSP-1001660021822-H-G03</t>
        </is>
      </c>
      <c r="B76" t="s">
        <v>0</v>
      </c>
      <c r="C76" t="s">
        <v>0</v>
      </c>
      <c r="D76" t="s">
        <v>1</v>
      </c>
      <c r="E76" t="s">
        <f>"074"</f>
        <v>79</v>
      </c>
      <c r="F76" t="s">
        <v>45</v>
      </c>
      <c r="G76" t="s">
        <v>46</v>
      </c>
      <c r="H76" s="1">
        <v>125402.3</v>
      </c>
    </row>
    <row r="77" spans="1:9">
      <c r="A77" t="inlineStr">
        <is>
          <t>DSP-1001660021822-H-G04</t>
        </is>
      </c>
      <c r="B77" t="s">
        <v>0</v>
      </c>
      <c r="C77" t="s">
        <v>0</v>
      </c>
      <c r="D77" t="s">
        <v>1</v>
      </c>
      <c r="E77" t="s">
        <f>"075"</f>
        <v>80</v>
      </c>
      <c r="F77" t="s">
        <v>45</v>
      </c>
      <c r="G77" t="s">
        <v>46</v>
      </c>
      <c r="H77" s="1">
        <v>282533.16999999998</v>
      </c>
    </row>
    <row r="78" spans="1:9">
      <c r="A78" t="inlineStr">
        <is>
          <t>DSP-1001660021822-H-G05</t>
        </is>
      </c>
      <c r="B78" t="s">
        <v>0</v>
      </c>
      <c r="C78" t="s">
        <v>0</v>
      </c>
      <c r="D78" t="s">
        <v>1</v>
      </c>
      <c r="E78" t="s">
        <f>"076"</f>
        <v>81</v>
      </c>
      <c r="F78" t="s">
        <v>45</v>
      </c>
      <c r="G78" t="s">
        <v>46</v>
      </c>
      <c r="H78" s="1">
        <v>282533.16999999998</v>
      </c>
    </row>
    <row r="79" spans="1:9">
      <c r="A79" t="inlineStr">
        <is>
          <t>DSP-1001660021822-H-G06</t>
        </is>
      </c>
      <c r="B79" t="s">
        <v>0</v>
      </c>
      <c r="C79" t="s">
        <v>0</v>
      </c>
      <c r="D79" t="s">
        <v>1</v>
      </c>
      <c r="E79" t="s">
        <f>"077"</f>
        <v>82</v>
      </c>
      <c r="F79" t="s">
        <v>45</v>
      </c>
      <c r="G79" t="s">
        <v>46</v>
      </c>
      <c r="H79" s="1">
        <v>282533.16999999998</v>
      </c>
    </row>
    <row r="80" spans="1:9">
      <c r="A80" t="inlineStr">
        <is>
          <t>DSP-1001660021822-H-G07</t>
        </is>
      </c>
      <c r="B80" t="s">
        <v>0</v>
      </c>
      <c r="C80" t="s">
        <v>0</v>
      </c>
      <c r="D80" t="s">
        <v>1</v>
      </c>
      <c r="E80" t="s">
        <f>"078"</f>
        <v>83</v>
      </c>
      <c r="F80" t="s">
        <v>45</v>
      </c>
      <c r="G80" t="s">
        <v>46</v>
      </c>
      <c r="H80" s="1">
        <v>282533.16999999998</v>
      </c>
    </row>
    <row r="81" spans="1:9">
      <c r="A81" t="inlineStr">
        <is>
          <t>DSP-1001660021822-H-G08</t>
        </is>
      </c>
      <c r="B81" t="s">
        <v>0</v>
      </c>
      <c r="C81" t="s">
        <v>0</v>
      </c>
      <c r="D81" t="s">
        <v>1</v>
      </c>
      <c r="E81" t="s">
        <f>"079"</f>
        <v>84</v>
      </c>
      <c r="F81" t="s">
        <v>45</v>
      </c>
      <c r="G81" t="s">
        <v>46</v>
      </c>
      <c r="H81" s="1">
        <v>282533.16999999998</v>
      </c>
    </row>
    <row r="82" spans="1:9">
      <c r="A82" t="inlineStr">
        <is>
          <t>DSP-1001660021822-H-G09</t>
        </is>
      </c>
      <c r="B82" t="s">
        <v>0</v>
      </c>
      <c r="C82" t="s">
        <v>0</v>
      </c>
      <c r="D82" t="s">
        <v>1</v>
      </c>
      <c r="E82" t="s">
        <f>"080"</f>
        <v>85</v>
      </c>
      <c r="F82" t="s">
        <v>45</v>
      </c>
      <c r="G82" t="s">
        <v>46</v>
      </c>
      <c r="H82" s="1">
        <v>282533.16999999998</v>
      </c>
    </row>
    <row r="83" spans="1:9">
      <c r="A83" t="inlineStr">
        <is>
          <t>DSP-1001660021822-H-G10</t>
        </is>
      </c>
      <c r="B83" t="s">
        <v>0</v>
      </c>
      <c r="C83" t="s">
        <v>0</v>
      </c>
      <c r="D83" t="s">
        <v>1</v>
      </c>
      <c r="E83" t="s">
        <f>"081"</f>
        <v>86</v>
      </c>
      <c r="F83" t="s">
        <v>45</v>
      </c>
      <c r="G83" t="s">
        <v>46</v>
      </c>
      <c r="H83" s="1">
        <v>189421.48000000001</v>
      </c>
    </row>
    <row r="84" spans="1:9">
      <c r="A84" t="inlineStr">
        <is>
          <t>DSP-1001660021822-H-G11</t>
        </is>
      </c>
      <c r="B84" t="s">
        <v>0</v>
      </c>
      <c r="C84" t="s">
        <v>0</v>
      </c>
      <c r="D84" t="s">
        <v>1</v>
      </c>
      <c r="E84" t="s">
        <f>"082"</f>
        <v>87</v>
      </c>
      <c r="F84" t="s">
        <v>45</v>
      </c>
      <c r="G84" t="s">
        <v>46</v>
      </c>
      <c r="H84" s="1">
        <v>282533.16999999998</v>
      </c>
    </row>
    <row r="85" spans="1:9">
      <c r="A85" t="inlineStr">
        <is>
          <t>DSP-1001660021822-H-G12</t>
        </is>
      </c>
      <c r="B85" t="s">
        <v>0</v>
      </c>
      <c r="C85" t="s">
        <v>0</v>
      </c>
      <c r="D85" t="s">
        <v>1</v>
      </c>
      <c r="E85" t="s">
        <f>"083"</f>
        <v>88</v>
      </c>
      <c r="F85" t="s">
        <v>45</v>
      </c>
      <c r="G85" t="s">
        <v>46</v>
      </c>
      <c r="H85" s="1">
        <v>282533.16999999998</v>
      </c>
    </row>
    <row r="86" spans="1:9">
      <c r="A86" t="inlineStr">
        <is>
          <t>DSP-1001660021822-H-H01</t>
        </is>
      </c>
      <c r="B86" t="s">
        <v>0</v>
      </c>
      <c r="C86" t="s">
        <v>0</v>
      </c>
      <c r="D86" t="s">
        <v>1</v>
      </c>
      <c r="E86" t="s">
        <f>"084"</f>
        <v>89</v>
      </c>
      <c r="F86" t="s">
        <v>45</v>
      </c>
      <c r="G86" t="s">
        <v>46</v>
      </c>
      <c r="H86" s="1">
        <v>282533.16999999998</v>
      </c>
    </row>
    <row r="87" spans="1:9">
      <c r="A87" t="inlineStr">
        <is>
          <t>DSP-1001660021822-H-H02</t>
        </is>
      </c>
      <c r="B87" t="s">
        <v>0</v>
      </c>
      <c r="C87" t="s">
        <v>0</v>
      </c>
      <c r="D87" t="s">
        <v>1</v>
      </c>
      <c r="E87" t="s">
        <f>"085"</f>
        <v>90</v>
      </c>
      <c r="F87" t="s">
        <v>45</v>
      </c>
      <c r="G87" t="s">
        <v>46</v>
      </c>
      <c r="H87" s="1">
        <v>282533.16999999998</v>
      </c>
    </row>
    <row r="88" spans="1:9">
      <c r="A88" t="inlineStr">
        <is>
          <t>DSP-1001660021822-H-H03</t>
        </is>
      </c>
      <c r="B88" t="s">
        <v>0</v>
      </c>
      <c r="C88" t="s">
        <v>0</v>
      </c>
      <c r="D88" t="s">
        <v>1</v>
      </c>
      <c r="E88" t="s">
        <f>"086"</f>
        <v>91</v>
      </c>
      <c r="F88" t="s">
        <v>45</v>
      </c>
      <c r="G88" t="s">
        <v>46</v>
      </c>
      <c r="H88" s="1">
        <v>282533.16999999998</v>
      </c>
    </row>
    <row r="89" spans="1:9">
      <c r="A89" t="inlineStr">
        <is>
          <t>DSP-1001660021822-H-H04</t>
        </is>
      </c>
      <c r="B89" t="s">
        <v>0</v>
      </c>
      <c r="C89" t="s">
        <v>0</v>
      </c>
      <c r="D89" t="s">
        <v>1</v>
      </c>
      <c r="E89" t="s">
        <f>"087"</f>
        <v>92</v>
      </c>
      <c r="F89" t="s">
        <v>45</v>
      </c>
      <c r="G89" t="s">
        <v>46</v>
      </c>
      <c r="H89" s="1">
        <v>282533.16999999998</v>
      </c>
    </row>
    <row r="90" spans="1:9">
      <c r="A90" t="inlineStr">
        <is>
          <t>DSP-1001660021822-H-H05</t>
        </is>
      </c>
      <c r="B90" t="s">
        <v>0</v>
      </c>
      <c r="C90" t="s">
        <v>0</v>
      </c>
      <c r="D90" t="s">
        <v>1</v>
      </c>
      <c r="E90" t="s">
        <f>"088"</f>
        <v>93</v>
      </c>
      <c r="F90" t="s">
        <v>45</v>
      </c>
      <c r="G90" t="s">
        <v>46</v>
      </c>
      <c r="H90" s="1">
        <v>282533.16999999998</v>
      </c>
    </row>
    <row r="91" spans="1:9">
      <c r="A91" t="inlineStr">
        <is>
          <t>DSP-1001660021822-H-H06</t>
        </is>
      </c>
      <c r="B91" t="s">
        <v>0</v>
      </c>
      <c r="C91" t="s">
        <v>0</v>
      </c>
      <c r="D91" t="s">
        <v>1</v>
      </c>
      <c r="E91" t="s">
        <f>"089"</f>
        <v>94</v>
      </c>
      <c r="F91" t="s">
        <v>45</v>
      </c>
      <c r="G91" t="s">
        <v>46</v>
      </c>
      <c r="H91" s="1">
        <v>255233.97</v>
      </c>
    </row>
    <row r="92" spans="1:9">
      <c r="A92" t="inlineStr">
        <is>
          <t>DSP-1001660021822-H-H07</t>
        </is>
      </c>
      <c r="B92" t="s">
        <v>0</v>
      </c>
      <c r="C92" t="s">
        <v>0</v>
      </c>
      <c r="D92" t="s">
        <v>1</v>
      </c>
      <c r="E92" t="s">
        <f>"090"</f>
        <v>95</v>
      </c>
      <c r="F92" t="s">
        <v>45</v>
      </c>
      <c r="G92" t="s">
        <v>46</v>
      </c>
      <c r="H92" s="1">
        <v>282533.16999999998</v>
      </c>
    </row>
    <row r="93" spans="1:9">
      <c r="A93" t="inlineStr">
        <is>
          <t>DSP-1001660021822-H-H08</t>
        </is>
      </c>
      <c r="B93" t="s">
        <v>0</v>
      </c>
      <c r="C93" t="s">
        <v>0</v>
      </c>
      <c r="D93" t="s">
        <v>1</v>
      </c>
      <c r="E93" t="s">
        <f>"091"</f>
        <v>96</v>
      </c>
      <c r="F93" t="s">
        <v>45</v>
      </c>
      <c r="G93" t="s">
        <v>46</v>
      </c>
      <c r="H93" s="1">
        <v>282533.16999999998</v>
      </c>
    </row>
    <row r="94" spans="1:9">
      <c r="A94" t="inlineStr">
        <is>
          <t>DSP-1001660021822-H-H09</t>
        </is>
      </c>
      <c r="B94" t="s">
        <v>0</v>
      </c>
      <c r="C94" t="s">
        <v>0</v>
      </c>
      <c r="D94" t="s">
        <v>1</v>
      </c>
      <c r="E94" t="s">
        <f>"092"</f>
        <v>97</v>
      </c>
      <c r="F94" t="s">
        <v>45</v>
      </c>
      <c r="G94" t="s">
        <v>46</v>
      </c>
      <c r="H94" s="1">
        <v>282533.16999999998</v>
      </c>
    </row>
    <row r="95" spans="1:9">
      <c r="A95" t="inlineStr">
        <is>
          <t>DSP-1001660021822-H-H10</t>
        </is>
      </c>
      <c r="B95" t="s">
        <v>0</v>
      </c>
      <c r="C95" t="s">
        <v>0</v>
      </c>
      <c r="D95" t="s">
        <v>1</v>
      </c>
      <c r="E95" t="s">
        <f>"093"</f>
        <v>98</v>
      </c>
      <c r="F95" t="s">
        <v>45</v>
      </c>
      <c r="G95" t="s">
        <v>46</v>
      </c>
      <c r="H95" s="1">
        <v>282533.16999999998</v>
      </c>
    </row>
    <row r="96" spans="1:9">
      <c r="A96" t="inlineStr">
        <is>
          <t>DSP-1001660021822-H-H11</t>
        </is>
      </c>
      <c r="B96" t="s">
        <v>0</v>
      </c>
      <c r="C96" t="s">
        <v>0</v>
      </c>
      <c r="D96" t="s">
        <v>1</v>
      </c>
      <c r="E96" t="s">
        <f>"094"</f>
        <v>99</v>
      </c>
      <c r="F96" t="s">
        <v>45</v>
      </c>
      <c r="G96" t="s">
        <v>46</v>
      </c>
      <c r="H96" s="1">
        <v>282533.16999999998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