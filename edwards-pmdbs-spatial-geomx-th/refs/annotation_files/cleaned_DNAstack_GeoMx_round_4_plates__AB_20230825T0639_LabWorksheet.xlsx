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leaned_DNAstack_GeoMx_round_4_plates__AB_20230825T0639_LabWorksheet.txt" sheetId="1" r:id="rId1"/>
  </sheets>
  <definedNames>
    <definedName name="_xlnm.Sheet_Title" localSheetId="0">"cleaned_DNAstack_GeoMx_round_4_plates__AB_20230825T0639_LabWorksheet.txt"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<sst xmlns="http://schemas.openxmlformats.org/spreadsheetml/2006/main" uniqueCount="102" count="102">
  <si>
    <t>No Template Control</t>
  </si>
  <si>
    <t>GeoMx round 4 slide 9</t>
  </si>
  <si>
    <t>(v1.0) Human NGS Whole Transcriptome Atlas RNA</t>
  </si>
  <si>
    <t>001</t>
  </si>
  <si>
    <t>Segment 1</t>
  </si>
  <si>
    <t>Segment 1-aoi-001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</si>
  <si>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</si>
  <si>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</si>
  <si>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</si>
  <si>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</si>
  <si>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</si>
  <si>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</si>
  <si>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</si>
  <si>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</si>
  <si>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</si>
  <si>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</si>
  <si>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</si>
  <si>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</si>
  <si>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</si>
  <si>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</si>
  <si>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</si>
  <si>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</si>
  <si>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</si>
  <si>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</si>
  <si>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</si>
  <si>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</si>
  <si>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</si>
  <si>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</si>
  <si>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</si>
  <si>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</si>
  <si>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</si>
  <si>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</si>
  <si>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</si>
  <si>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</si>
  <si>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</si>
  <si>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</si>
  <si>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</si>
  <si>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</si>
  <si>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</si>
  <si>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</si>
  <si>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</si>
  <si>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</si>
  <si>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</si>
  <si>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</si>
  <si>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</si>
  <si>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Full ROI</t>
  </si>
  <si>
    <t>Full ROI-aoi-001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</si>
  <si>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</si>
  <si>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</si>
  <si>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</si>
  <si>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</si>
  <si>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</si>
  <si>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</si>
  <si>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</si>
  <si>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</si>
  <si>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</si>
  <si>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</si>
  <si>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</si>
  <si>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</si>
  <si>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</si>
  <si>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</si>
  <si>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</si>
  <si>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</si>
  <si>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</si>
  <si>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</si>
  <si>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</si>
  <si>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</si>
  <si>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</si>
  <si>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</si>
  <si>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</si>
  <si>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</si>
  <si>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</si>
  <si>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</si>
  <si>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</si>
  <si>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</si>
  <si>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</si>
  <si>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</si>
  <si>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</si>
  <si>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</si>
  <si>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</si>
  <si>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</si>
  <si>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</si>
  <si>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</si>
  <si>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</si>
  <si>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</si>
  <si>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</si>
  <si>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</si>
  <si>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</si>
  <si>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</si>
  <si>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</si>
  <si>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</si>
  <si>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</si>
  <si>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</si>
  <si>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</si>
  <si>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</si>
  <si>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</si>
  <si>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</si>
  <si>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</si>
  <si>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</si>
  <si>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</si>
  <si>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</si>
  <si>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GeoMx_round4_250823 slide 10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</si>
</sst>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2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191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9">
      <c r="A1" t="inlineStr">
        <is>
          <t>Sample_ID</t>
        </is>
      </c>
      <c r="B1" t="inlineStr">
        <is>
          <t>slide name</t>
        </is>
      </c>
      <c r="C1" t="inlineStr">
        <is>
          <t>scan name</t>
        </is>
      </c>
      <c r="D1" t="inlineStr">
        <is>
          <t>panel</t>
        </is>
      </c>
      <c r="E1" t="inlineStr">
        <is>
          <t>roi</t>
        </is>
      </c>
      <c r="F1" t="inlineStr">
        <is>
          <t>segment</t>
        </is>
      </c>
      <c r="G1" t="inlineStr">
        <is>
          <t>aoi</t>
        </is>
      </c>
      <c r="H1" s="1" t="inlineStr">
        <is>
          <t>area</t>
        </is>
      </c>
      <c r="I1" t="inlineStr">
        <is>
          <t>tags</t>
        </is>
      </c>
    </row>
    <row r="2" spans="1:9">
      <c r="A2" t="inlineStr">
        <is>
          <t>DSP-1001660021703-A-A01</t>
        </is>
      </c>
      <c r="B2" t="s">
        <v>0</v>
      </c>
      <c r="H2" s="1"/>
    </row>
    <row r="3" spans="1:9">
      <c r="A3" t="inlineStr">
        <is>
          <t>DSP-1001660021703-A-A02</t>
        </is>
      </c>
      <c r="B3" t="s">
        <v>1</v>
      </c>
      <c r="C3" t="s">
        <v>1</v>
      </c>
      <c r="D3" t="s">
        <v>2</v>
      </c>
      <c r="E3" t="s">
        <f>"001"</f>
        <v>3</v>
      </c>
      <c r="F3" t="s">
        <v>4</v>
      </c>
      <c r="G3" t="s">
        <v>5</v>
      </c>
      <c r="H3" s="1">
        <v>63810.68</v>
      </c>
    </row>
    <row r="4" spans="1:9">
      <c r="A4" t="inlineStr">
        <is>
          <t>DSP-1001660021703-A-A03</t>
        </is>
      </c>
      <c r="B4" t="s">
        <v>1</v>
      </c>
      <c r="C4" t="s">
        <v>1</v>
      </c>
      <c r="D4" t="s">
        <v>2</v>
      </c>
      <c r="E4" t="s">
        <f>"002"</f>
        <v>6</v>
      </c>
      <c r="F4" t="s">
        <v>4</v>
      </c>
      <c r="G4" t="s">
        <v>5</v>
      </c>
      <c r="H4" s="1">
        <v>54154.68</v>
      </c>
    </row>
    <row r="5" spans="1:9">
      <c r="A5" t="inlineStr">
        <is>
          <t>DSP-1001660021703-A-A04</t>
        </is>
      </c>
      <c r="B5" t="s">
        <v>1</v>
      </c>
      <c r="C5" t="s">
        <v>1</v>
      </c>
      <c r="D5" t="s">
        <v>2</v>
      </c>
      <c r="E5" t="s">
        <f>"003"</f>
        <v>7</v>
      </c>
      <c r="F5" t="s">
        <v>4</v>
      </c>
      <c r="G5" t="s">
        <v>5</v>
      </c>
      <c r="H5" s="1">
        <v>44919.339999999997</v>
      </c>
    </row>
    <row r="6" spans="1:9">
      <c r="A6" t="inlineStr">
        <is>
          <t>DSP-1001660021703-A-A05</t>
        </is>
      </c>
      <c r="B6" t="s">
        <v>1</v>
      </c>
      <c r="C6" t="s">
        <v>1</v>
      </c>
      <c r="D6" t="s">
        <v>2</v>
      </c>
      <c r="E6" t="s">
        <f>"004"</f>
        <v>8</v>
      </c>
      <c r="F6" t="s">
        <v>4</v>
      </c>
      <c r="G6" t="s">
        <v>5</v>
      </c>
      <c r="H6" s="1">
        <v>20010.650000000001</v>
      </c>
    </row>
    <row r="7" spans="1:9">
      <c r="A7" t="inlineStr">
        <is>
          <t>DSP-1001660021703-A-A06</t>
        </is>
      </c>
      <c r="B7" t="s">
        <v>1</v>
      </c>
      <c r="C7" t="s">
        <v>1</v>
      </c>
      <c r="D7" t="s">
        <v>2</v>
      </c>
      <c r="E7" t="s">
        <f>"005"</f>
        <v>9</v>
      </c>
      <c r="F7" t="s">
        <v>4</v>
      </c>
      <c r="G7" t="s">
        <v>5</v>
      </c>
      <c r="H7" s="1">
        <v>139827.85000000001</v>
      </c>
    </row>
    <row r="8" spans="1:9">
      <c r="A8" t="inlineStr">
        <is>
          <t>DSP-1001660021703-A-A07</t>
        </is>
      </c>
      <c r="B8" t="s">
        <v>1</v>
      </c>
      <c r="C8" t="s">
        <v>1</v>
      </c>
      <c r="D8" t="s">
        <v>2</v>
      </c>
      <c r="E8" t="s">
        <f>"006"</f>
        <v>10</v>
      </c>
      <c r="F8" t="s">
        <v>4</v>
      </c>
      <c r="G8" t="s">
        <v>5</v>
      </c>
      <c r="H8" s="1">
        <v>117958.67999999999</v>
      </c>
    </row>
    <row r="9" spans="1:9">
      <c r="A9" t="inlineStr">
        <is>
          <t>DSP-1001660021703-A-A08</t>
        </is>
      </c>
      <c r="B9" t="s">
        <v>1</v>
      </c>
      <c r="C9" t="s">
        <v>1</v>
      </c>
      <c r="D9" t="s">
        <v>2</v>
      </c>
      <c r="E9" t="s">
        <f>"007"</f>
        <v>11</v>
      </c>
      <c r="F9" t="s">
        <v>4</v>
      </c>
      <c r="G9" t="s">
        <v>5</v>
      </c>
      <c r="H9" s="1">
        <v>48314.489999999998</v>
      </c>
    </row>
    <row r="10" spans="1:9">
      <c r="A10" t="inlineStr">
        <is>
          <t>DSP-1001660021703-A-A09</t>
        </is>
      </c>
      <c r="B10" t="s">
        <v>1</v>
      </c>
      <c r="C10" t="s">
        <v>1</v>
      </c>
      <c r="D10" t="s">
        <v>2</v>
      </c>
      <c r="E10" t="s">
        <f>"008"</f>
        <v>12</v>
      </c>
      <c r="F10" t="s">
        <v>4</v>
      </c>
      <c r="G10" t="s">
        <v>5</v>
      </c>
      <c r="H10" s="1">
        <v>23515.049999999999</v>
      </c>
    </row>
    <row r="11" spans="1:9">
      <c r="A11" t="inlineStr">
        <is>
          <t>DSP-1001660021703-A-A10</t>
        </is>
      </c>
      <c r="B11" t="s">
        <v>1</v>
      </c>
      <c r="C11" t="s">
        <v>1</v>
      </c>
      <c r="D11" t="s">
        <v>2</v>
      </c>
      <c r="E11" t="s">
        <f>"009"</f>
        <v>13</v>
      </c>
      <c r="F11" t="s">
        <v>4</v>
      </c>
      <c r="G11" t="s">
        <v>5</v>
      </c>
      <c r="H11" s="1">
        <v>12525.52</v>
      </c>
    </row>
    <row r="12" spans="1:9">
      <c r="A12" t="inlineStr">
        <is>
          <t>DSP-1001660021703-A-A11</t>
        </is>
      </c>
      <c r="B12" t="s">
        <v>1</v>
      </c>
      <c r="C12" t="s">
        <v>1</v>
      </c>
      <c r="D12" t="s">
        <v>2</v>
      </c>
      <c r="E12" t="s">
        <f>"010"</f>
        <v>14</v>
      </c>
      <c r="F12" t="s">
        <v>4</v>
      </c>
      <c r="G12" t="s">
        <v>5</v>
      </c>
      <c r="H12" s="1">
        <v>25829.689999999999</v>
      </c>
    </row>
    <row r="13" spans="1:9">
      <c r="A13" t="inlineStr">
        <is>
          <t>DSP-1001660021703-A-A12</t>
        </is>
      </c>
      <c r="B13" t="s">
        <v>1</v>
      </c>
      <c r="C13" t="s">
        <v>1</v>
      </c>
      <c r="D13" t="s">
        <v>2</v>
      </c>
      <c r="E13" t="s">
        <f>"011"</f>
        <v>15</v>
      </c>
      <c r="F13" t="s">
        <v>4</v>
      </c>
      <c r="G13" t="s">
        <v>5</v>
      </c>
      <c r="H13" s="1">
        <v>10206.59</v>
      </c>
    </row>
    <row r="14" spans="1:9">
      <c r="A14" t="inlineStr">
        <is>
          <t>DSP-1001660021703-A-B01</t>
        </is>
      </c>
      <c r="B14" t="s">
        <v>1</v>
      </c>
      <c r="C14" t="s">
        <v>1</v>
      </c>
      <c r="D14" t="s">
        <v>2</v>
      </c>
      <c r="E14" t="s">
        <f>"012"</f>
        <v>16</v>
      </c>
      <c r="F14" t="s">
        <v>4</v>
      </c>
      <c r="G14" t="s">
        <v>5</v>
      </c>
      <c r="H14" s="1">
        <v>53896.720000000001</v>
      </c>
    </row>
    <row r="15" spans="1:9">
      <c r="A15" t="inlineStr">
        <is>
          <t>DSP-1001660021703-A-B02</t>
        </is>
      </c>
      <c r="B15" t="s">
        <v>1</v>
      </c>
      <c r="C15" t="s">
        <v>1</v>
      </c>
      <c r="D15" t="s">
        <v>2</v>
      </c>
      <c r="E15" t="s">
        <f>"013"</f>
        <v>17</v>
      </c>
      <c r="F15" t="s">
        <v>4</v>
      </c>
      <c r="G15" t="s">
        <v>5</v>
      </c>
      <c r="H15" s="1">
        <v>48454.760000000002</v>
      </c>
    </row>
    <row r="16" spans="1:9">
      <c r="A16" t="inlineStr">
        <is>
          <t>DSP-1001660021703-A-B03</t>
        </is>
      </c>
      <c r="B16" t="s">
        <v>1</v>
      </c>
      <c r="C16" t="s">
        <v>1</v>
      </c>
      <c r="D16" t="s">
        <v>2</v>
      </c>
      <c r="E16" t="s">
        <f>"014"</f>
        <v>18</v>
      </c>
      <c r="F16" t="s">
        <v>4</v>
      </c>
      <c r="G16" t="s">
        <v>5</v>
      </c>
      <c r="H16" s="1">
        <v>47237.480000000003</v>
      </c>
    </row>
    <row r="17" spans="1:9">
      <c r="A17" t="inlineStr">
        <is>
          <t>DSP-1001660021703-A-B04</t>
        </is>
      </c>
      <c r="B17" t="s">
        <v>1</v>
      </c>
      <c r="C17" t="s">
        <v>1</v>
      </c>
      <c r="D17" t="s">
        <v>2</v>
      </c>
      <c r="E17" t="s">
        <f>"015"</f>
        <v>19</v>
      </c>
      <c r="F17" t="s">
        <v>4</v>
      </c>
      <c r="G17" t="s">
        <v>5</v>
      </c>
      <c r="H17" s="1">
        <v>82095.130000000005</v>
      </c>
    </row>
    <row r="18" spans="1:9">
      <c r="A18" t="inlineStr">
        <is>
          <t>DSP-1001660021703-A-B05</t>
        </is>
      </c>
      <c r="B18" t="s">
        <v>1</v>
      </c>
      <c r="C18" t="s">
        <v>1</v>
      </c>
      <c r="D18" t="s">
        <v>2</v>
      </c>
      <c r="E18" t="s">
        <f>"016"</f>
        <v>20</v>
      </c>
      <c r="F18" t="s">
        <v>4</v>
      </c>
      <c r="G18" t="s">
        <v>5</v>
      </c>
      <c r="H18" s="1">
        <v>74865.259999999995</v>
      </c>
    </row>
    <row r="19" spans="1:9">
      <c r="A19" t="inlineStr">
        <is>
          <t>DSP-1001660021703-A-B06</t>
        </is>
      </c>
      <c r="B19" t="s">
        <v>1</v>
      </c>
      <c r="C19" t="s">
        <v>1</v>
      </c>
      <c r="D19" t="s">
        <v>2</v>
      </c>
      <c r="E19" t="s">
        <f>"017"</f>
        <v>21</v>
      </c>
      <c r="F19" t="s">
        <v>4</v>
      </c>
      <c r="G19" t="s">
        <v>5</v>
      </c>
      <c r="H19" s="1">
        <v>48213.18</v>
      </c>
    </row>
    <row r="20" spans="1:9">
      <c r="A20" t="inlineStr">
        <is>
          <t>DSP-1001660021703-A-B07</t>
        </is>
      </c>
      <c r="B20" t="s">
        <v>1</v>
      </c>
      <c r="C20" t="s">
        <v>1</v>
      </c>
      <c r="D20" t="s">
        <v>2</v>
      </c>
      <c r="E20" t="s">
        <f>"018"</f>
        <v>22</v>
      </c>
      <c r="F20" t="s">
        <v>4</v>
      </c>
      <c r="G20" t="s">
        <v>5</v>
      </c>
      <c r="H20" s="1">
        <v>91912.070000000007</v>
      </c>
    </row>
    <row r="21" spans="1:9">
      <c r="A21" t="inlineStr">
        <is>
          <t>DSP-1001660021703-A-B08</t>
        </is>
      </c>
      <c r="B21" t="s">
        <v>1</v>
      </c>
      <c r="C21" t="s">
        <v>1</v>
      </c>
      <c r="D21" t="s">
        <v>2</v>
      </c>
      <c r="E21" t="s">
        <f>"019"</f>
        <v>23</v>
      </c>
      <c r="F21" t="s">
        <v>4</v>
      </c>
      <c r="G21" t="s">
        <v>5</v>
      </c>
      <c r="H21" s="1">
        <v>45037.349999999999</v>
      </c>
    </row>
    <row r="22" spans="1:9">
      <c r="A22" t="inlineStr">
        <is>
          <t>DSP-1001660021703-A-B09</t>
        </is>
      </c>
      <c r="B22" t="s">
        <v>1</v>
      </c>
      <c r="C22" t="s">
        <v>1</v>
      </c>
      <c r="D22" t="s">
        <v>2</v>
      </c>
      <c r="E22" t="s">
        <f>"020"</f>
        <v>24</v>
      </c>
      <c r="F22" t="s">
        <v>4</v>
      </c>
      <c r="G22" t="s">
        <v>5</v>
      </c>
      <c r="H22" s="1">
        <v>32564</v>
      </c>
    </row>
    <row r="23" spans="1:9">
      <c r="A23" t="inlineStr">
        <is>
          <t>DSP-1001660021703-A-B10</t>
        </is>
      </c>
      <c r="B23" t="s">
        <v>1</v>
      </c>
      <c r="C23" t="s">
        <v>1</v>
      </c>
      <c r="D23" t="s">
        <v>2</v>
      </c>
      <c r="E23" t="s">
        <f>"021"</f>
        <v>25</v>
      </c>
      <c r="F23" t="s">
        <v>4</v>
      </c>
      <c r="G23" t="s">
        <v>5</v>
      </c>
      <c r="H23" s="1">
        <v>12778.389999999999</v>
      </c>
    </row>
    <row r="24" spans="1:9">
      <c r="A24" t="inlineStr">
        <is>
          <t>DSP-1001660021703-A-B11</t>
        </is>
      </c>
      <c r="B24" t="s">
        <v>1</v>
      </c>
      <c r="C24" t="s">
        <v>1</v>
      </c>
      <c r="D24" t="s">
        <v>2</v>
      </c>
      <c r="E24" t="s">
        <f>"022"</f>
        <v>26</v>
      </c>
      <c r="F24" t="s">
        <v>4</v>
      </c>
      <c r="G24" t="s">
        <v>5</v>
      </c>
      <c r="H24" s="1">
        <v>41685.150000000001</v>
      </c>
    </row>
    <row r="25" spans="1:9">
      <c r="A25" t="inlineStr">
        <is>
          <t>DSP-1001660021703-A-B12</t>
        </is>
      </c>
      <c r="B25" t="s">
        <v>1</v>
      </c>
      <c r="C25" t="s">
        <v>1</v>
      </c>
      <c r="D25" t="s">
        <v>2</v>
      </c>
      <c r="E25" t="s">
        <f>"023"</f>
        <v>27</v>
      </c>
      <c r="F25" t="s">
        <v>4</v>
      </c>
      <c r="G25" t="s">
        <v>5</v>
      </c>
      <c r="H25" s="1">
        <v>35527.029999999999</v>
      </c>
    </row>
    <row r="26" spans="1:9">
      <c r="A26" t="inlineStr">
        <is>
          <t>DSP-1001660021703-A-C01</t>
        </is>
      </c>
      <c r="B26" t="s">
        <v>1</v>
      </c>
      <c r="C26" t="s">
        <v>1</v>
      </c>
      <c r="D26" t="s">
        <v>2</v>
      </c>
      <c r="E26" t="s">
        <f>"024"</f>
        <v>28</v>
      </c>
      <c r="F26" t="s">
        <v>4</v>
      </c>
      <c r="G26" t="s">
        <v>5</v>
      </c>
      <c r="H26" s="1">
        <v>37700.93</v>
      </c>
    </row>
    <row r="27" spans="1:9">
      <c r="A27" t="inlineStr">
        <is>
          <t>DSP-1001660021703-A-C02</t>
        </is>
      </c>
      <c r="B27" t="s">
        <v>1</v>
      </c>
      <c r="C27" t="s">
        <v>1</v>
      </c>
      <c r="D27" t="s">
        <v>2</v>
      </c>
      <c r="E27" t="s">
        <f>"025"</f>
        <v>29</v>
      </c>
      <c r="F27" t="s">
        <v>4</v>
      </c>
      <c r="G27" t="s">
        <v>5</v>
      </c>
      <c r="H27" s="1">
        <v>24644.540000000001</v>
      </c>
    </row>
    <row r="28" spans="1:9">
      <c r="A28" t="inlineStr">
        <is>
          <t>DSP-1001660021703-A-C03</t>
        </is>
      </c>
      <c r="B28" t="s">
        <v>1</v>
      </c>
      <c r="C28" t="s">
        <v>1</v>
      </c>
      <c r="D28" t="s">
        <v>2</v>
      </c>
      <c r="E28" t="s">
        <f>"026"</f>
        <v>30</v>
      </c>
      <c r="F28" t="s">
        <v>4</v>
      </c>
      <c r="G28" t="s">
        <v>5</v>
      </c>
      <c r="H28" s="1">
        <v>33058.290000000001</v>
      </c>
    </row>
    <row r="29" spans="1:9">
      <c r="A29" t="inlineStr">
        <is>
          <t>DSP-1001660021703-A-C04</t>
        </is>
      </c>
      <c r="B29" t="s">
        <v>1</v>
      </c>
      <c r="C29" t="s">
        <v>1</v>
      </c>
      <c r="D29" t="s">
        <v>2</v>
      </c>
      <c r="E29" t="s">
        <f>"027"</f>
        <v>31</v>
      </c>
      <c r="F29" t="s">
        <v>4</v>
      </c>
      <c r="G29" t="s">
        <v>5</v>
      </c>
      <c r="H29" s="1">
        <v>8104.8999999999996</v>
      </c>
    </row>
    <row r="30" spans="1:9">
      <c r="A30" t="inlineStr">
        <is>
          <t>DSP-1001660021703-A-C05</t>
        </is>
      </c>
      <c r="B30" t="s">
        <v>1</v>
      </c>
      <c r="C30" t="s">
        <v>1</v>
      </c>
      <c r="D30" t="s">
        <v>2</v>
      </c>
      <c r="E30" t="s">
        <f>"028"</f>
        <v>32</v>
      </c>
      <c r="F30" t="s">
        <v>4</v>
      </c>
      <c r="G30" t="s">
        <v>5</v>
      </c>
      <c r="H30" s="1">
        <v>46579.379999999997</v>
      </c>
    </row>
    <row r="31" spans="1:9">
      <c r="A31" t="inlineStr">
        <is>
          <t>DSP-1001660021703-A-C06</t>
        </is>
      </c>
      <c r="B31" t="s">
        <v>1</v>
      </c>
      <c r="C31" t="s">
        <v>1</v>
      </c>
      <c r="D31" t="s">
        <v>2</v>
      </c>
      <c r="E31" t="s">
        <f>"029"</f>
        <v>33</v>
      </c>
      <c r="F31" t="s">
        <v>4</v>
      </c>
      <c r="G31" t="s">
        <v>5</v>
      </c>
      <c r="H31" s="1">
        <v>34152.790000000001</v>
      </c>
    </row>
    <row r="32" spans="1:9">
      <c r="A32" t="inlineStr">
        <is>
          <t>DSP-1001660021703-A-C07</t>
        </is>
      </c>
      <c r="B32" t="s">
        <v>1</v>
      </c>
      <c r="C32" t="s">
        <v>1</v>
      </c>
      <c r="D32" t="s">
        <v>2</v>
      </c>
      <c r="E32" t="s">
        <f>"030"</f>
        <v>34</v>
      </c>
      <c r="F32" t="s">
        <v>4</v>
      </c>
      <c r="G32" t="s">
        <v>5</v>
      </c>
      <c r="H32" s="1">
        <v>15610.219999999999</v>
      </c>
    </row>
    <row r="33" spans="1:9">
      <c r="A33" t="inlineStr">
        <is>
          <t>DSP-1001660021703-A-C08</t>
        </is>
      </c>
      <c r="B33" t="s">
        <v>1</v>
      </c>
      <c r="C33" t="s">
        <v>1</v>
      </c>
      <c r="D33" t="s">
        <v>2</v>
      </c>
      <c r="E33" t="s">
        <f>"031"</f>
        <v>35</v>
      </c>
      <c r="F33" t="s">
        <v>4</v>
      </c>
      <c r="G33" t="s">
        <v>5</v>
      </c>
      <c r="H33" s="1">
        <v>11953.139999999999</v>
      </c>
    </row>
    <row r="34" spans="1:9">
      <c r="A34" t="inlineStr">
        <is>
          <t>DSP-1001660021703-A-C09</t>
        </is>
      </c>
      <c r="B34" t="s">
        <v>1</v>
      </c>
      <c r="C34" t="s">
        <v>1</v>
      </c>
      <c r="D34" t="s">
        <v>2</v>
      </c>
      <c r="E34" t="s">
        <f>"032"</f>
        <v>36</v>
      </c>
      <c r="F34" t="s">
        <v>4</v>
      </c>
      <c r="G34" t="s">
        <v>5</v>
      </c>
      <c r="H34" s="1">
        <v>10193.700000000001</v>
      </c>
    </row>
    <row r="35" spans="1:9">
      <c r="A35" t="inlineStr">
        <is>
          <t>DSP-1001660021703-A-C10</t>
        </is>
      </c>
      <c r="B35" t="s">
        <v>1</v>
      </c>
      <c r="C35" t="s">
        <v>1</v>
      </c>
      <c r="D35" t="s">
        <v>2</v>
      </c>
      <c r="E35" t="s">
        <f>"033"</f>
        <v>37</v>
      </c>
      <c r="F35" t="s">
        <v>4</v>
      </c>
      <c r="G35" t="s">
        <v>5</v>
      </c>
      <c r="H35" s="1">
        <v>26431.169999999998</v>
      </c>
    </row>
    <row r="36" spans="1:9">
      <c r="A36" t="inlineStr">
        <is>
          <t>DSP-1001660021703-A-C11</t>
        </is>
      </c>
      <c r="B36" t="s">
        <v>1</v>
      </c>
      <c r="C36" t="s">
        <v>1</v>
      </c>
      <c r="D36" t="s">
        <v>2</v>
      </c>
      <c r="E36" t="s">
        <f>"034"</f>
        <v>38</v>
      </c>
      <c r="F36" t="s">
        <v>4</v>
      </c>
      <c r="G36" t="s">
        <v>5</v>
      </c>
      <c r="H36" s="1">
        <v>6424.5</v>
      </c>
    </row>
    <row r="37" spans="1:9">
      <c r="A37" t="inlineStr">
        <is>
          <t>DSP-1001660021703-A-C12</t>
        </is>
      </c>
      <c r="B37" t="s">
        <v>1</v>
      </c>
      <c r="C37" t="s">
        <v>1</v>
      </c>
      <c r="D37" t="s">
        <v>2</v>
      </c>
      <c r="E37" t="s">
        <f>"035"</f>
        <v>39</v>
      </c>
      <c r="F37" t="s">
        <v>4</v>
      </c>
      <c r="G37" t="s">
        <v>5</v>
      </c>
      <c r="H37" s="1">
        <v>16335.43</v>
      </c>
    </row>
    <row r="38" spans="1:9">
      <c r="A38" t="inlineStr">
        <is>
          <t>DSP-1001660021703-A-D01</t>
        </is>
      </c>
      <c r="B38" t="s">
        <v>1</v>
      </c>
      <c r="C38" t="s">
        <v>1</v>
      </c>
      <c r="D38" t="s">
        <v>2</v>
      </c>
      <c r="E38" t="s">
        <f>"036"</f>
        <v>40</v>
      </c>
      <c r="F38" t="s">
        <v>4</v>
      </c>
      <c r="G38" t="s">
        <v>5</v>
      </c>
      <c r="H38" s="1">
        <v>129410.06</v>
      </c>
    </row>
    <row r="39" spans="1:9">
      <c r="A39" t="inlineStr">
        <is>
          <t>DSP-1001660021703-A-D02</t>
        </is>
      </c>
      <c r="B39" t="s">
        <v>1</v>
      </c>
      <c r="C39" t="s">
        <v>1</v>
      </c>
      <c r="D39" t="s">
        <v>2</v>
      </c>
      <c r="E39" t="s">
        <f>"037"</f>
        <v>41</v>
      </c>
      <c r="F39" t="s">
        <v>4</v>
      </c>
      <c r="G39" t="s">
        <v>5</v>
      </c>
      <c r="H39" s="1">
        <v>91196.869999999995</v>
      </c>
    </row>
    <row r="40" spans="1:9">
      <c r="A40" t="inlineStr">
        <is>
          <t>DSP-1001660021703-A-D03</t>
        </is>
      </c>
      <c r="B40" t="s">
        <v>1</v>
      </c>
      <c r="C40" t="s">
        <v>1</v>
      </c>
      <c r="D40" t="s">
        <v>2</v>
      </c>
      <c r="E40" t="s">
        <f>"038"</f>
        <v>42</v>
      </c>
      <c r="F40" t="s">
        <v>4</v>
      </c>
      <c r="G40" t="s">
        <v>5</v>
      </c>
      <c r="H40" s="1">
        <v>9066.2800000000007</v>
      </c>
    </row>
    <row r="41" spans="1:9">
      <c r="A41" t="inlineStr">
        <is>
          <t>DSP-1001660021703-A-D04</t>
        </is>
      </c>
      <c r="B41" t="s">
        <v>1</v>
      </c>
      <c r="C41" t="s">
        <v>1</v>
      </c>
      <c r="D41" t="s">
        <v>2</v>
      </c>
      <c r="E41" t="s">
        <f>"039"</f>
        <v>43</v>
      </c>
      <c r="F41" t="s">
        <v>4</v>
      </c>
      <c r="G41" t="s">
        <v>5</v>
      </c>
      <c r="H41" s="1">
        <v>11446.450000000001</v>
      </c>
    </row>
    <row r="42" spans="1:9">
      <c r="A42" t="inlineStr">
        <is>
          <t>DSP-1001660021703-A-D05</t>
        </is>
      </c>
      <c r="B42" t="s">
        <v>1</v>
      </c>
      <c r="C42" t="s">
        <v>1</v>
      </c>
      <c r="D42" t="s">
        <v>2</v>
      </c>
      <c r="E42" t="s">
        <f>"040"</f>
        <v>44</v>
      </c>
      <c r="F42" t="s">
        <v>45</v>
      </c>
      <c r="G42" t="s">
        <v>46</v>
      </c>
      <c r="H42" s="1">
        <v>301636.19</v>
      </c>
    </row>
    <row r="43" spans="1:9">
      <c r="A43" t="inlineStr">
        <is>
          <t>DSP-1001660021703-A-D06</t>
        </is>
      </c>
      <c r="B43" t="s">
        <v>1</v>
      </c>
      <c r="C43" t="s">
        <v>1</v>
      </c>
      <c r="D43" t="s">
        <v>2</v>
      </c>
      <c r="E43" t="s">
        <f>"041"</f>
        <v>47</v>
      </c>
      <c r="F43" t="s">
        <v>45</v>
      </c>
      <c r="G43" t="s">
        <v>46</v>
      </c>
      <c r="H43" s="1">
        <v>282533.16999999998</v>
      </c>
    </row>
    <row r="44" spans="1:9">
      <c r="A44" t="inlineStr">
        <is>
          <t>DSP-1001660021703-A-D07</t>
        </is>
      </c>
      <c r="B44" t="s">
        <v>1</v>
      </c>
      <c r="C44" t="s">
        <v>1</v>
      </c>
      <c r="D44" t="s">
        <v>2</v>
      </c>
      <c r="E44" t="s">
        <f>"042"</f>
        <v>48</v>
      </c>
      <c r="F44" t="s">
        <v>45</v>
      </c>
      <c r="G44" t="s">
        <v>46</v>
      </c>
      <c r="H44" s="1">
        <v>342488.92999999999</v>
      </c>
    </row>
    <row r="45" spans="1:9">
      <c r="A45" t="inlineStr">
        <is>
          <t>DSP-1001660021703-A-D08</t>
        </is>
      </c>
      <c r="B45" t="s">
        <v>1</v>
      </c>
      <c r="C45" t="s">
        <v>1</v>
      </c>
      <c r="D45" t="s">
        <v>2</v>
      </c>
      <c r="E45" t="s">
        <f>"043"</f>
        <v>49</v>
      </c>
      <c r="F45" t="s">
        <v>45</v>
      </c>
      <c r="G45" t="s">
        <v>46</v>
      </c>
      <c r="H45" s="1">
        <v>282533.16999999998</v>
      </c>
    </row>
    <row r="46" spans="1:9">
      <c r="A46" t="inlineStr">
        <is>
          <t>DSP-1001660021703-A-D09</t>
        </is>
      </c>
      <c r="B46" t="s">
        <v>1</v>
      </c>
      <c r="C46" t="s">
        <v>1</v>
      </c>
      <c r="D46" t="s">
        <v>2</v>
      </c>
      <c r="E46" t="s">
        <f>"044"</f>
        <v>50</v>
      </c>
      <c r="F46" t="s">
        <v>45</v>
      </c>
      <c r="G46" t="s">
        <v>46</v>
      </c>
      <c r="H46" s="1">
        <v>282533.16999999998</v>
      </c>
    </row>
    <row r="47" spans="1:9">
      <c r="A47" t="inlineStr">
        <is>
          <t>DSP-1001660021703-A-D10</t>
        </is>
      </c>
      <c r="B47" t="s">
        <v>1</v>
      </c>
      <c r="C47" t="s">
        <v>1</v>
      </c>
      <c r="D47" t="s">
        <v>2</v>
      </c>
      <c r="E47" t="s">
        <f>"045"</f>
        <v>51</v>
      </c>
      <c r="F47" t="s">
        <v>45</v>
      </c>
      <c r="G47" t="s">
        <v>46</v>
      </c>
      <c r="H47" s="1">
        <v>282533.16999999998</v>
      </c>
    </row>
    <row r="48" spans="1:9">
      <c r="A48" t="inlineStr">
        <is>
          <t>DSP-1001660021703-A-D11</t>
        </is>
      </c>
      <c r="B48" t="s">
        <v>1</v>
      </c>
      <c r="C48" t="s">
        <v>1</v>
      </c>
      <c r="D48" t="s">
        <v>2</v>
      </c>
      <c r="E48" t="s">
        <f>"046"</f>
        <v>52</v>
      </c>
      <c r="F48" t="s">
        <v>45</v>
      </c>
      <c r="G48" t="s">
        <v>46</v>
      </c>
      <c r="H48" s="1">
        <v>282533.16999999998</v>
      </c>
    </row>
    <row r="49" spans="1:9">
      <c r="A49" t="inlineStr">
        <is>
          <t>DSP-1001660021703-A-D12</t>
        </is>
      </c>
      <c r="B49" t="s">
        <v>1</v>
      </c>
      <c r="C49" t="s">
        <v>1</v>
      </c>
      <c r="D49" t="s">
        <v>2</v>
      </c>
      <c r="E49" t="s">
        <f>"047"</f>
        <v>53</v>
      </c>
      <c r="F49" t="s">
        <v>45</v>
      </c>
      <c r="G49" t="s">
        <v>46</v>
      </c>
      <c r="H49" s="1">
        <v>282533.16999999998</v>
      </c>
    </row>
    <row r="50" spans="1:9">
      <c r="A50" t="inlineStr">
        <is>
          <t>DSP-1001660021703-A-E01</t>
        </is>
      </c>
      <c r="B50" t="s">
        <v>1</v>
      </c>
      <c r="C50" t="s">
        <v>1</v>
      </c>
      <c r="D50" t="s">
        <v>2</v>
      </c>
      <c r="E50" t="s">
        <f>"048"</f>
        <v>54</v>
      </c>
      <c r="F50" t="s">
        <v>45</v>
      </c>
      <c r="G50" t="s">
        <v>46</v>
      </c>
      <c r="H50" s="1">
        <v>282533.16999999998</v>
      </c>
    </row>
    <row r="51" spans="1:9">
      <c r="A51" t="inlineStr">
        <is>
          <t>DSP-1001660021703-A-E02</t>
        </is>
      </c>
      <c r="B51" t="s">
        <v>1</v>
      </c>
      <c r="C51" t="s">
        <v>1</v>
      </c>
      <c r="D51" t="s">
        <v>2</v>
      </c>
      <c r="E51" t="s">
        <f>"049"</f>
        <v>55</v>
      </c>
      <c r="F51" t="s">
        <v>45</v>
      </c>
      <c r="G51" t="s">
        <v>46</v>
      </c>
      <c r="H51" s="1">
        <v>282533.16999999998</v>
      </c>
    </row>
    <row r="52" spans="1:9">
      <c r="A52" t="inlineStr">
        <is>
          <t>DSP-1001660021703-A-E03</t>
        </is>
      </c>
      <c r="B52" t="s">
        <v>1</v>
      </c>
      <c r="C52" t="s">
        <v>1</v>
      </c>
      <c r="D52" t="s">
        <v>2</v>
      </c>
      <c r="E52" t="s">
        <f>"050"</f>
        <v>56</v>
      </c>
      <c r="F52" t="s">
        <v>45</v>
      </c>
      <c r="G52" t="s">
        <v>46</v>
      </c>
      <c r="H52" s="1">
        <v>282533.16999999998</v>
      </c>
    </row>
    <row r="53" spans="1:9">
      <c r="A53" t="inlineStr">
        <is>
          <t>DSP-1001660021703-A-E04</t>
        </is>
      </c>
      <c r="B53" t="s">
        <v>1</v>
      </c>
      <c r="C53" t="s">
        <v>1</v>
      </c>
      <c r="D53" t="s">
        <v>2</v>
      </c>
      <c r="E53" t="s">
        <f>"051"</f>
        <v>57</v>
      </c>
      <c r="F53" t="s">
        <v>45</v>
      </c>
      <c r="G53" t="s">
        <v>46</v>
      </c>
      <c r="H53" s="1">
        <v>282533.16999999998</v>
      </c>
    </row>
    <row r="54" spans="1:9">
      <c r="A54" t="inlineStr">
        <is>
          <t>DSP-1001660021703-A-E05</t>
        </is>
      </c>
      <c r="B54" t="s">
        <v>1</v>
      </c>
      <c r="C54" t="s">
        <v>1</v>
      </c>
      <c r="D54" t="s">
        <v>2</v>
      </c>
      <c r="E54" t="s">
        <f>"052"</f>
        <v>58</v>
      </c>
      <c r="F54" t="s">
        <v>45</v>
      </c>
      <c r="G54" t="s">
        <v>46</v>
      </c>
      <c r="H54" s="1">
        <v>282533.16999999998</v>
      </c>
    </row>
    <row r="55" spans="1:9">
      <c r="A55" t="inlineStr">
        <is>
          <t>DSP-1001660021703-A-E06</t>
        </is>
      </c>
      <c r="B55" t="s">
        <v>1</v>
      </c>
      <c r="C55" t="s">
        <v>1</v>
      </c>
      <c r="D55" t="s">
        <v>2</v>
      </c>
      <c r="E55" t="s">
        <f>"053"</f>
        <v>59</v>
      </c>
      <c r="F55" t="s">
        <v>45</v>
      </c>
      <c r="G55" t="s">
        <v>46</v>
      </c>
      <c r="H55" s="1">
        <v>282533.16999999998</v>
      </c>
    </row>
    <row r="56" spans="1:9">
      <c r="A56" t="inlineStr">
        <is>
          <t>DSP-1001660021703-A-E07</t>
        </is>
      </c>
      <c r="B56" t="s">
        <v>1</v>
      </c>
      <c r="C56" t="s">
        <v>1</v>
      </c>
      <c r="D56" t="s">
        <v>2</v>
      </c>
      <c r="E56" t="s">
        <f>"054"</f>
        <v>60</v>
      </c>
      <c r="F56" t="s">
        <v>45</v>
      </c>
      <c r="G56" t="s">
        <v>46</v>
      </c>
      <c r="H56" s="1">
        <v>282533.16999999998</v>
      </c>
    </row>
    <row r="57" spans="1:9">
      <c r="A57" t="inlineStr">
        <is>
          <t>DSP-1001660021703-A-E08</t>
        </is>
      </c>
      <c r="B57" t="s">
        <v>1</v>
      </c>
      <c r="C57" t="s">
        <v>1</v>
      </c>
      <c r="D57" t="s">
        <v>2</v>
      </c>
      <c r="E57" t="s">
        <f>"055"</f>
        <v>61</v>
      </c>
      <c r="F57" t="s">
        <v>45</v>
      </c>
      <c r="G57" t="s">
        <v>46</v>
      </c>
      <c r="H57" s="1">
        <v>284340.47999999998</v>
      </c>
    </row>
    <row r="58" spans="1:9">
      <c r="A58" t="inlineStr">
        <is>
          <t>DSP-1001660021703-A-E09</t>
        </is>
      </c>
      <c r="B58" t="s">
        <v>1</v>
      </c>
      <c r="C58" t="s">
        <v>1</v>
      </c>
      <c r="D58" t="s">
        <v>2</v>
      </c>
      <c r="E58" t="s">
        <f>"056"</f>
        <v>62</v>
      </c>
      <c r="F58" t="s">
        <v>45</v>
      </c>
      <c r="G58" t="s">
        <v>46</v>
      </c>
      <c r="H58" s="1">
        <v>284340.47999999998</v>
      </c>
    </row>
    <row r="59" spans="1:9">
      <c r="A59" t="inlineStr">
        <is>
          <t>DSP-1001660021703-A-E10</t>
        </is>
      </c>
      <c r="B59" t="s">
        <v>1</v>
      </c>
      <c r="C59" t="s">
        <v>1</v>
      </c>
      <c r="D59" t="s">
        <v>2</v>
      </c>
      <c r="E59" t="s">
        <f>"057"</f>
        <v>63</v>
      </c>
      <c r="F59" t="s">
        <v>45</v>
      </c>
      <c r="G59" t="s">
        <v>46</v>
      </c>
      <c r="H59" s="1">
        <v>196387.67000000001</v>
      </c>
    </row>
    <row r="60" spans="1:9">
      <c r="A60" t="inlineStr">
        <is>
          <t>DSP-1001660021703-A-E11</t>
        </is>
      </c>
      <c r="B60" t="s">
        <v>1</v>
      </c>
      <c r="C60" t="s">
        <v>1</v>
      </c>
      <c r="D60" t="s">
        <v>2</v>
      </c>
      <c r="E60" t="s">
        <f>"058"</f>
        <v>64</v>
      </c>
      <c r="F60" t="s">
        <v>45</v>
      </c>
      <c r="G60" t="s">
        <v>46</v>
      </c>
      <c r="H60" s="1">
        <v>282533.16999999998</v>
      </c>
    </row>
    <row r="61" spans="1:9">
      <c r="A61" t="inlineStr">
        <is>
          <t>DSP-1001660021703-A-E12</t>
        </is>
      </c>
      <c r="B61" t="s">
        <v>1</v>
      </c>
      <c r="C61" t="s">
        <v>1</v>
      </c>
      <c r="D61" t="s">
        <v>2</v>
      </c>
      <c r="E61" t="s">
        <f>"059"</f>
        <v>65</v>
      </c>
      <c r="F61" t="s">
        <v>45</v>
      </c>
      <c r="G61" t="s">
        <v>46</v>
      </c>
      <c r="H61" s="1">
        <v>196387.67000000001</v>
      </c>
    </row>
    <row r="62" spans="1:9">
      <c r="A62" t="inlineStr">
        <is>
          <t>DSP-1001660021703-A-F01</t>
        </is>
      </c>
      <c r="B62" t="s">
        <v>1</v>
      </c>
      <c r="C62" t="s">
        <v>1</v>
      </c>
      <c r="D62" t="s">
        <v>2</v>
      </c>
      <c r="E62" t="s">
        <f>"060"</f>
        <v>66</v>
      </c>
      <c r="F62" t="s">
        <v>45</v>
      </c>
      <c r="G62" t="s">
        <v>46</v>
      </c>
      <c r="H62" s="1">
        <v>160526.64999999999</v>
      </c>
    </row>
    <row r="63" spans="1:9">
      <c r="A63" t="inlineStr">
        <is>
          <t>DSP-1001660021703-A-F02</t>
        </is>
      </c>
      <c r="B63" t="s">
        <v>1</v>
      </c>
      <c r="C63" t="s">
        <v>1</v>
      </c>
      <c r="D63" t="s">
        <v>2</v>
      </c>
      <c r="E63" t="s">
        <f>"061"</f>
        <v>67</v>
      </c>
      <c r="F63" t="s">
        <v>45</v>
      </c>
      <c r="G63" t="s">
        <v>46</v>
      </c>
      <c r="H63" s="1">
        <v>160526.64999999999</v>
      </c>
    </row>
    <row r="64" spans="1:9">
      <c r="A64" t="inlineStr">
        <is>
          <t>DSP-1001660021703-A-F03</t>
        </is>
      </c>
      <c r="B64" t="s">
        <v>1</v>
      </c>
      <c r="C64" t="s">
        <v>1</v>
      </c>
      <c r="D64" t="s">
        <v>2</v>
      </c>
      <c r="E64" t="s">
        <f>"062"</f>
        <v>68</v>
      </c>
      <c r="F64" t="s">
        <v>45</v>
      </c>
      <c r="G64" t="s">
        <v>46</v>
      </c>
      <c r="H64" s="1">
        <v>280945.17999999999</v>
      </c>
    </row>
    <row r="65" spans="1:9">
      <c r="A65" t="inlineStr">
        <is>
          <t>DSP-1001660021703-A-F04</t>
        </is>
      </c>
      <c r="B65" t="s">
        <v>1</v>
      </c>
      <c r="C65" t="s">
        <v>1</v>
      </c>
      <c r="D65" t="s">
        <v>2</v>
      </c>
      <c r="E65" t="s">
        <f>"063"</f>
        <v>69</v>
      </c>
      <c r="F65" t="s">
        <v>45</v>
      </c>
      <c r="G65" t="s">
        <v>46</v>
      </c>
      <c r="H65" s="1">
        <v>160526.64999999999</v>
      </c>
    </row>
    <row r="66" spans="1:9">
      <c r="A66" t="inlineStr">
        <is>
          <t>DSP-1001660021703-A-F05</t>
        </is>
      </c>
      <c r="B66" t="s">
        <v>1</v>
      </c>
      <c r="C66" t="s">
        <v>1</v>
      </c>
      <c r="D66" t="s">
        <v>2</v>
      </c>
      <c r="E66" t="s">
        <f>"064"</f>
        <v>70</v>
      </c>
      <c r="F66" t="s">
        <v>45</v>
      </c>
      <c r="G66" t="s">
        <v>46</v>
      </c>
      <c r="H66" s="1">
        <v>282533.16999999998</v>
      </c>
    </row>
    <row r="67" spans="1:9">
      <c r="A67" t="inlineStr">
        <is>
          <t>DSP-1001660021703-A-F06</t>
        </is>
      </c>
      <c r="B67" t="s">
        <v>1</v>
      </c>
      <c r="C67" t="s">
        <v>1</v>
      </c>
      <c r="D67" t="s">
        <v>2</v>
      </c>
      <c r="E67" t="s">
        <f>"065"</f>
        <v>71</v>
      </c>
      <c r="F67" t="s">
        <v>45</v>
      </c>
      <c r="G67" t="s">
        <v>46</v>
      </c>
      <c r="H67" s="1">
        <v>282533.16999999998</v>
      </c>
    </row>
    <row r="68" spans="1:9">
      <c r="A68" t="inlineStr">
        <is>
          <t>DSP-1001660021703-A-F07</t>
        </is>
      </c>
      <c r="B68" t="s">
        <v>1</v>
      </c>
      <c r="C68" t="s">
        <v>1</v>
      </c>
      <c r="D68" t="s">
        <v>2</v>
      </c>
      <c r="E68" t="s">
        <f>"066"</f>
        <v>72</v>
      </c>
      <c r="F68" t="s">
        <v>45</v>
      </c>
      <c r="G68" t="s">
        <v>46</v>
      </c>
      <c r="H68" s="1">
        <v>282533.16999999998</v>
      </c>
    </row>
    <row r="69" spans="1:9">
      <c r="A69" t="inlineStr">
        <is>
          <t>DSP-1001660021703-A-F08</t>
        </is>
      </c>
      <c r="B69" t="s">
        <v>1</v>
      </c>
      <c r="C69" t="s">
        <v>1</v>
      </c>
      <c r="D69" t="s">
        <v>2</v>
      </c>
      <c r="E69" t="s">
        <f>"067"</f>
        <v>73</v>
      </c>
      <c r="F69" t="s">
        <v>45</v>
      </c>
      <c r="G69" t="s">
        <v>46</v>
      </c>
      <c r="H69" s="1">
        <v>282533.16999999998</v>
      </c>
    </row>
    <row r="70" spans="1:9">
      <c r="A70" t="inlineStr">
        <is>
          <t>DSP-1001660021703-A-F09</t>
        </is>
      </c>
      <c r="B70" t="s">
        <v>1</v>
      </c>
      <c r="C70" t="s">
        <v>1</v>
      </c>
      <c r="D70" t="s">
        <v>2</v>
      </c>
      <c r="E70" t="s">
        <f>"068"</f>
        <v>74</v>
      </c>
      <c r="F70" t="s">
        <v>45</v>
      </c>
      <c r="G70" t="s">
        <v>46</v>
      </c>
      <c r="H70" s="1">
        <v>282533.16999999998</v>
      </c>
    </row>
    <row r="71" spans="1:9">
      <c r="A71" t="inlineStr">
        <is>
          <t>DSP-1001660021703-A-F10</t>
        </is>
      </c>
      <c r="B71" t="s">
        <v>1</v>
      </c>
      <c r="C71" t="s">
        <v>1</v>
      </c>
      <c r="D71" t="s">
        <v>2</v>
      </c>
      <c r="E71" t="s">
        <f>"069"</f>
        <v>75</v>
      </c>
      <c r="F71" t="s">
        <v>45</v>
      </c>
      <c r="G71" t="s">
        <v>46</v>
      </c>
      <c r="H71" s="1">
        <v>282533.16999999998</v>
      </c>
    </row>
    <row r="72" spans="1:9">
      <c r="A72" t="inlineStr">
        <is>
          <t>DSP-1001660021703-A-F11</t>
        </is>
      </c>
      <c r="B72" t="s">
        <v>1</v>
      </c>
      <c r="C72" t="s">
        <v>1</v>
      </c>
      <c r="D72" t="s">
        <v>2</v>
      </c>
      <c r="E72" t="s">
        <f>"070"</f>
        <v>76</v>
      </c>
      <c r="F72" t="s">
        <v>45</v>
      </c>
      <c r="G72" t="s">
        <v>46</v>
      </c>
      <c r="H72" s="1">
        <v>191130.03</v>
      </c>
    </row>
    <row r="73" spans="1:9">
      <c r="A73" t="inlineStr">
        <is>
          <t>DSP-1001660021703-A-F12</t>
        </is>
      </c>
      <c r="B73" t="s">
        <v>1</v>
      </c>
      <c r="C73" t="s">
        <v>1</v>
      </c>
      <c r="D73" t="s">
        <v>2</v>
      </c>
      <c r="E73" t="s">
        <f>"071"</f>
        <v>77</v>
      </c>
      <c r="F73" t="s">
        <v>45</v>
      </c>
      <c r="G73" t="s">
        <v>46</v>
      </c>
      <c r="H73" s="1">
        <v>265324.46000000002</v>
      </c>
    </row>
    <row r="74" spans="1:9">
      <c r="A74" t="inlineStr">
        <is>
          <t>DSP-1001660021703-A-G01</t>
        </is>
      </c>
      <c r="B74" t="s">
        <v>1</v>
      </c>
      <c r="C74" t="s">
        <v>1</v>
      </c>
      <c r="D74" t="s">
        <v>2</v>
      </c>
      <c r="E74" t="s">
        <f>"072"</f>
        <v>78</v>
      </c>
      <c r="F74" t="s">
        <v>45</v>
      </c>
      <c r="G74" t="s">
        <v>46</v>
      </c>
      <c r="H74" s="1">
        <v>282533.16999999998</v>
      </c>
    </row>
    <row r="75" spans="1:9">
      <c r="A75" t="inlineStr">
        <is>
          <t>DSP-1001660021703-A-G02</t>
        </is>
      </c>
      <c r="B75" t="s">
        <v>1</v>
      </c>
      <c r="C75" t="s">
        <v>1</v>
      </c>
      <c r="D75" t="s">
        <v>2</v>
      </c>
      <c r="E75" t="s">
        <f>"073"</f>
        <v>79</v>
      </c>
      <c r="F75" t="s">
        <v>45</v>
      </c>
      <c r="G75" t="s">
        <v>46</v>
      </c>
      <c r="H75" s="1">
        <v>282533.16999999998</v>
      </c>
    </row>
    <row r="76" spans="1:9">
      <c r="A76" t="inlineStr">
        <is>
          <t>DSP-1001660021703-A-G03</t>
        </is>
      </c>
      <c r="B76" t="s">
        <v>1</v>
      </c>
      <c r="C76" t="s">
        <v>1</v>
      </c>
      <c r="D76" t="s">
        <v>2</v>
      </c>
      <c r="E76" t="s">
        <f>"074"</f>
        <v>80</v>
      </c>
      <c r="F76" t="s">
        <v>45</v>
      </c>
      <c r="G76" t="s">
        <v>46</v>
      </c>
      <c r="H76" s="1">
        <v>287656.90000000002</v>
      </c>
    </row>
    <row r="77" spans="1:9">
      <c r="A77" t="inlineStr">
        <is>
          <t>DSP-1001660021703-A-G04</t>
        </is>
      </c>
      <c r="B77" t="s">
        <v>1</v>
      </c>
      <c r="C77" t="s">
        <v>1</v>
      </c>
      <c r="D77" t="s">
        <v>2</v>
      </c>
      <c r="E77" t="s">
        <f>"075"</f>
        <v>81</v>
      </c>
      <c r="F77" t="s">
        <v>45</v>
      </c>
      <c r="G77" t="s">
        <v>46</v>
      </c>
      <c r="H77" s="1">
        <v>177223.10000000001</v>
      </c>
    </row>
    <row r="78" spans="1:9">
      <c r="A78" t="inlineStr">
        <is>
          <t>DSP-1001660021703-A-G05</t>
        </is>
      </c>
      <c r="B78" t="s">
        <v>1</v>
      </c>
      <c r="C78" t="s">
        <v>1</v>
      </c>
      <c r="D78" t="s">
        <v>2</v>
      </c>
      <c r="E78" t="s">
        <f>"076"</f>
        <v>82</v>
      </c>
      <c r="F78" t="s">
        <v>45</v>
      </c>
      <c r="G78" t="s">
        <v>46</v>
      </c>
      <c r="H78" s="1">
        <v>282533.16999999998</v>
      </c>
    </row>
    <row r="79" spans="1:9">
      <c r="A79" t="inlineStr">
        <is>
          <t>DSP-1001660021703-A-G06</t>
        </is>
      </c>
      <c r="B79" t="s">
        <v>1</v>
      </c>
      <c r="C79" t="s">
        <v>1</v>
      </c>
      <c r="D79" t="s">
        <v>2</v>
      </c>
      <c r="E79" t="s">
        <f>"077"</f>
        <v>83</v>
      </c>
      <c r="F79" t="s">
        <v>45</v>
      </c>
      <c r="G79" t="s">
        <v>46</v>
      </c>
      <c r="H79" s="1">
        <v>282533.16999999998</v>
      </c>
    </row>
    <row r="80" spans="1:9">
      <c r="A80" t="inlineStr">
        <is>
          <t>DSP-1001660021703-A-G07</t>
        </is>
      </c>
      <c r="B80" t="s">
        <v>1</v>
      </c>
      <c r="C80" t="s">
        <v>1</v>
      </c>
      <c r="D80" t="s">
        <v>2</v>
      </c>
      <c r="E80" t="s">
        <f>"078"</f>
        <v>84</v>
      </c>
      <c r="F80" t="s">
        <v>45</v>
      </c>
      <c r="G80" t="s">
        <v>46</v>
      </c>
      <c r="H80" s="1">
        <v>282533.16999999998</v>
      </c>
    </row>
    <row r="81" spans="1:9">
      <c r="A81" t="inlineStr">
        <is>
          <t>DSP-1001660021703-A-G08</t>
        </is>
      </c>
      <c r="B81" t="s">
        <v>1</v>
      </c>
      <c r="C81" t="s">
        <v>1</v>
      </c>
      <c r="D81" t="s">
        <v>2</v>
      </c>
      <c r="E81" t="s">
        <f>"079"</f>
        <v>85</v>
      </c>
      <c r="F81" t="s">
        <v>45</v>
      </c>
      <c r="G81" t="s">
        <v>46</v>
      </c>
      <c r="H81" s="1">
        <v>282533.16999999998</v>
      </c>
    </row>
    <row r="82" spans="1:9">
      <c r="A82" t="inlineStr">
        <is>
          <t>DSP-1001660021703-A-G09</t>
        </is>
      </c>
      <c r="B82" t="s">
        <v>1</v>
      </c>
      <c r="C82" t="s">
        <v>1</v>
      </c>
      <c r="D82" t="s">
        <v>2</v>
      </c>
      <c r="E82" t="s">
        <f>"080"</f>
        <v>86</v>
      </c>
      <c r="F82" t="s">
        <v>45</v>
      </c>
      <c r="G82" t="s">
        <v>46</v>
      </c>
      <c r="H82" s="1">
        <v>282533.16999999998</v>
      </c>
    </row>
    <row r="83" spans="1:9">
      <c r="A83" t="inlineStr">
        <is>
          <t>DSP-1001660021703-A-G10</t>
        </is>
      </c>
      <c r="B83" t="s">
        <v>1</v>
      </c>
      <c r="C83" t="s">
        <v>1</v>
      </c>
      <c r="D83" t="s">
        <v>2</v>
      </c>
      <c r="E83" t="s">
        <f>"081"</f>
        <v>87</v>
      </c>
      <c r="F83" t="s">
        <v>45</v>
      </c>
      <c r="G83" t="s">
        <v>46</v>
      </c>
      <c r="H83" s="1">
        <v>282533.16999999998</v>
      </c>
    </row>
    <row r="84" spans="1:9">
      <c r="A84" t="inlineStr">
        <is>
          <t>DSP-1001660021703-A-G11</t>
        </is>
      </c>
      <c r="B84" t="s">
        <v>1</v>
      </c>
      <c r="C84" t="s">
        <v>1</v>
      </c>
      <c r="D84" t="s">
        <v>2</v>
      </c>
      <c r="E84" t="s">
        <f>"082"</f>
        <v>88</v>
      </c>
      <c r="F84" t="s">
        <v>45</v>
      </c>
      <c r="G84" t="s">
        <v>46</v>
      </c>
      <c r="H84" s="1">
        <v>282533.16999999998</v>
      </c>
    </row>
    <row r="85" spans="1:9">
      <c r="A85" t="inlineStr">
        <is>
          <t>DSP-1001660021703-A-G12</t>
        </is>
      </c>
      <c r="B85" t="s">
        <v>1</v>
      </c>
      <c r="C85" t="s">
        <v>1</v>
      </c>
      <c r="D85" t="s">
        <v>2</v>
      </c>
      <c r="E85" t="s">
        <f>"083"</f>
        <v>89</v>
      </c>
      <c r="F85" t="s">
        <v>45</v>
      </c>
      <c r="G85" t="s">
        <v>46</v>
      </c>
      <c r="H85" s="1">
        <v>128596.89999999999</v>
      </c>
    </row>
    <row r="86" spans="1:9">
      <c r="A86" t="inlineStr">
        <is>
          <t>DSP-1001660021703-A-H01</t>
        </is>
      </c>
      <c r="B86" t="s">
        <v>1</v>
      </c>
      <c r="C86" t="s">
        <v>1</v>
      </c>
      <c r="D86" t="s">
        <v>2</v>
      </c>
      <c r="E86" t="s">
        <f>"084"</f>
        <v>90</v>
      </c>
      <c r="F86" t="s">
        <v>45</v>
      </c>
      <c r="G86" t="s">
        <v>46</v>
      </c>
      <c r="H86" s="1">
        <v>121727.09</v>
      </c>
    </row>
    <row r="87" spans="1:9">
      <c r="A87" t="inlineStr">
        <is>
          <t>DSP-1001660021703-A-H02</t>
        </is>
      </c>
      <c r="B87" t="s">
        <v>1</v>
      </c>
      <c r="C87" t="s">
        <v>1</v>
      </c>
      <c r="D87" t="s">
        <v>2</v>
      </c>
      <c r="E87" t="s">
        <f>"085"</f>
        <v>91</v>
      </c>
      <c r="F87" t="s">
        <v>45</v>
      </c>
      <c r="G87" t="s">
        <v>46</v>
      </c>
      <c r="H87" s="1">
        <v>203264.63</v>
      </c>
    </row>
    <row r="88" spans="1:9">
      <c r="A88" t="inlineStr">
        <is>
          <t>DSP-1001660021703-A-H03</t>
        </is>
      </c>
      <c r="B88" t="s">
        <v>1</v>
      </c>
      <c r="C88" t="s">
        <v>1</v>
      </c>
      <c r="D88" t="s">
        <v>2</v>
      </c>
      <c r="E88" t="s">
        <f>"086"</f>
        <v>92</v>
      </c>
      <c r="F88" t="s">
        <v>45</v>
      </c>
      <c r="G88" t="s">
        <v>46</v>
      </c>
      <c r="H88" s="1">
        <v>282533.16999999998</v>
      </c>
    </row>
    <row r="89" spans="1:9">
      <c r="A89" t="inlineStr">
        <is>
          <t>DSP-1001660021703-A-H04</t>
        </is>
      </c>
      <c r="B89" t="s">
        <v>1</v>
      </c>
      <c r="C89" t="s">
        <v>1</v>
      </c>
      <c r="D89" t="s">
        <v>2</v>
      </c>
      <c r="E89" t="s">
        <f>"087"</f>
        <v>93</v>
      </c>
      <c r="F89" t="s">
        <v>45</v>
      </c>
      <c r="G89" t="s">
        <v>46</v>
      </c>
      <c r="H89" s="1">
        <v>283658.21000000002</v>
      </c>
    </row>
    <row r="90" spans="1:9">
      <c r="A90" t="inlineStr">
        <is>
          <t>DSP-1001660021703-A-H05</t>
        </is>
      </c>
      <c r="B90" t="s">
        <v>1</v>
      </c>
      <c r="C90" t="s">
        <v>1</v>
      </c>
      <c r="D90" t="s">
        <v>2</v>
      </c>
      <c r="E90" t="s">
        <f>"088"</f>
        <v>94</v>
      </c>
      <c r="F90" t="s">
        <v>45</v>
      </c>
      <c r="G90" t="s">
        <v>46</v>
      </c>
      <c r="H90" s="1">
        <v>215758.98000000001</v>
      </c>
    </row>
    <row r="91" spans="1:9">
      <c r="A91" t="inlineStr">
        <is>
          <t>DSP-1001660021703-A-H06</t>
        </is>
      </c>
      <c r="B91" t="s">
        <v>1</v>
      </c>
      <c r="C91" t="s">
        <v>1</v>
      </c>
      <c r="D91" t="s">
        <v>2</v>
      </c>
      <c r="E91" t="s">
        <f>"089"</f>
        <v>95</v>
      </c>
      <c r="F91" t="s">
        <v>45</v>
      </c>
      <c r="G91" t="s">
        <v>46</v>
      </c>
      <c r="H91" s="1">
        <v>282533.16999999998</v>
      </c>
    </row>
    <row r="92" spans="1:9">
      <c r="A92" t="inlineStr">
        <is>
          <t>DSP-1001660021703-A-H07</t>
        </is>
      </c>
      <c r="B92" t="s">
        <v>1</v>
      </c>
      <c r="C92" t="s">
        <v>1</v>
      </c>
      <c r="D92" t="s">
        <v>2</v>
      </c>
      <c r="E92" t="s">
        <f>"090"</f>
        <v>96</v>
      </c>
      <c r="F92" t="s">
        <v>45</v>
      </c>
      <c r="G92" t="s">
        <v>46</v>
      </c>
      <c r="H92" s="1">
        <v>282533.16999999998</v>
      </c>
    </row>
    <row r="93" spans="1:9">
      <c r="A93" t="inlineStr">
        <is>
          <t>DSP-1001660021703-A-H08</t>
        </is>
      </c>
      <c r="B93" t="s">
        <v>1</v>
      </c>
      <c r="C93" t="s">
        <v>1</v>
      </c>
      <c r="D93" t="s">
        <v>2</v>
      </c>
      <c r="E93" t="s">
        <f>"091"</f>
        <v>97</v>
      </c>
      <c r="F93" t="s">
        <v>45</v>
      </c>
      <c r="G93" t="s">
        <v>46</v>
      </c>
      <c r="H93" s="1">
        <v>282533.16999999998</v>
      </c>
    </row>
    <row r="94" spans="1:9">
      <c r="A94" t="inlineStr">
        <is>
          <t>DSP-1001660021703-A-H09</t>
        </is>
      </c>
      <c r="B94" t="s">
        <v>1</v>
      </c>
      <c r="C94" t="s">
        <v>1</v>
      </c>
      <c r="D94" t="s">
        <v>2</v>
      </c>
      <c r="E94" t="s">
        <f>"092"</f>
        <v>98</v>
      </c>
      <c r="F94" t="s">
        <v>45</v>
      </c>
      <c r="G94" t="s">
        <v>46</v>
      </c>
      <c r="H94" s="1">
        <v>282533.16999999998</v>
      </c>
    </row>
    <row r="95" spans="1:9">
      <c r="A95" t="inlineStr">
        <is>
          <t>DSP-1001660021703-A-H10</t>
        </is>
      </c>
      <c r="B95" t="s">
        <v>1</v>
      </c>
      <c r="C95" t="s">
        <v>1</v>
      </c>
      <c r="D95" t="s">
        <v>2</v>
      </c>
      <c r="E95" t="s">
        <f>"093"</f>
        <v>99</v>
      </c>
      <c r="F95" t="s">
        <v>45</v>
      </c>
      <c r="G95" t="s">
        <v>46</v>
      </c>
      <c r="H95" s="1">
        <v>282533.16999999998</v>
      </c>
    </row>
    <row r="96" spans="1:9">
      <c r="A96" t="inlineStr">
        <is>
          <t>DSP-1001660021703-A-H11</t>
        </is>
      </c>
      <c r="B96" t="s">
        <v>1</v>
      </c>
      <c r="C96" t="s">
        <v>1</v>
      </c>
      <c r="D96" t="s">
        <v>2</v>
      </c>
      <c r="E96" t="s">
        <f>"094"</f>
        <v>100</v>
      </c>
      <c r="F96" t="s">
        <v>45</v>
      </c>
      <c r="G96" t="s">
        <v>46</v>
      </c>
      <c r="H96" s="1">
        <v>282533.16999999998</v>
      </c>
    </row>
    <row r="97" spans="1:9">
      <c r="A97" t="inlineStr">
        <is>
          <t>DSP-1001660021704-B-A01</t>
        </is>
      </c>
      <c r="B97" t="s">
        <v>0</v>
      </c>
      <c r="H97" s="1"/>
    </row>
    <row r="98" spans="1:9">
      <c r="A98" t="inlineStr">
        <is>
          <t>DSP-1001660021704-B-A02</t>
        </is>
      </c>
      <c r="B98" t="s">
        <v>101</v>
      </c>
      <c r="C98" t="s">
        <v>101</v>
      </c>
      <c r="D98" t="s">
        <v>2</v>
      </c>
      <c r="E98" t="s">
        <f>"001"</f>
        <v>3</v>
      </c>
      <c r="F98" t="s">
        <v>4</v>
      </c>
      <c r="G98" t="s">
        <v>5</v>
      </c>
      <c r="H98" s="1">
        <v>39954.970000000001</v>
      </c>
    </row>
    <row r="99" spans="1:9">
      <c r="A99" t="inlineStr">
        <is>
          <t>DSP-1001660021704-B-A03</t>
        </is>
      </c>
      <c r="B99" t="s">
        <v>101</v>
      </c>
      <c r="C99" t="s">
        <v>101</v>
      </c>
      <c r="D99" t="s">
        <v>2</v>
      </c>
      <c r="E99" t="s">
        <f>"002"</f>
        <v>6</v>
      </c>
      <c r="F99" t="s">
        <v>4</v>
      </c>
      <c r="G99" t="s">
        <v>5</v>
      </c>
      <c r="H99" s="1">
        <v>39066.43</v>
      </c>
    </row>
    <row r="100" spans="1:9">
      <c r="A100" t="inlineStr">
        <is>
          <t>DSP-1001660021704-B-A04</t>
        </is>
      </c>
      <c r="B100" t="s">
        <v>101</v>
      </c>
      <c r="C100" t="s">
        <v>101</v>
      </c>
      <c r="D100" t="s">
        <v>2</v>
      </c>
      <c r="E100" t="s">
        <f>"003"</f>
        <v>7</v>
      </c>
      <c r="F100" t="s">
        <v>4</v>
      </c>
      <c r="G100" t="s">
        <v>5</v>
      </c>
      <c r="H100" s="1">
        <v>21333.68</v>
      </c>
    </row>
    <row r="101" spans="1:9">
      <c r="A101" t="inlineStr">
        <is>
          <t>DSP-1001660021704-B-A05</t>
        </is>
      </c>
      <c r="B101" t="s">
        <v>101</v>
      </c>
      <c r="C101" t="s">
        <v>101</v>
      </c>
      <c r="D101" t="s">
        <v>2</v>
      </c>
      <c r="E101" t="s">
        <f>"004"</f>
        <v>8</v>
      </c>
      <c r="F101" t="s">
        <v>4</v>
      </c>
      <c r="G101" t="s">
        <v>5</v>
      </c>
      <c r="H101" s="1">
        <v>40640.43</v>
      </c>
    </row>
    <row r="102" spans="1:9">
      <c r="A102" t="inlineStr">
        <is>
          <t>DSP-1001660021704-B-A06</t>
        </is>
      </c>
      <c r="B102" t="s">
        <v>101</v>
      </c>
      <c r="C102" t="s">
        <v>101</v>
      </c>
      <c r="D102" t="s">
        <v>2</v>
      </c>
      <c r="E102" t="s">
        <f>"005"</f>
        <v>9</v>
      </c>
      <c r="F102" t="s">
        <v>4</v>
      </c>
      <c r="G102" t="s">
        <v>5</v>
      </c>
      <c r="H102" s="1">
        <v>58962.089999999997</v>
      </c>
    </row>
    <row r="103" spans="1:9">
      <c r="A103" t="inlineStr">
        <is>
          <t>DSP-1001660021704-B-A07</t>
        </is>
      </c>
      <c r="B103" t="s">
        <v>101</v>
      </c>
      <c r="C103" t="s">
        <v>101</v>
      </c>
      <c r="D103" t="s">
        <v>2</v>
      </c>
      <c r="E103" t="s">
        <f>"006"</f>
        <v>10</v>
      </c>
      <c r="F103" t="s">
        <v>4</v>
      </c>
      <c r="G103" t="s">
        <v>5</v>
      </c>
      <c r="H103" s="1">
        <v>67903.520000000004</v>
      </c>
    </row>
    <row r="104" spans="1:9">
      <c r="A104" t="inlineStr">
        <is>
          <t>DSP-1001660021704-B-A08</t>
        </is>
      </c>
      <c r="B104" t="s">
        <v>101</v>
      </c>
      <c r="C104" t="s">
        <v>101</v>
      </c>
      <c r="D104" t="s">
        <v>2</v>
      </c>
      <c r="E104" t="s">
        <f>"007"</f>
        <v>11</v>
      </c>
      <c r="F104" t="s">
        <v>4</v>
      </c>
      <c r="G104" t="s">
        <v>5</v>
      </c>
      <c r="H104" s="1">
        <v>62814.940000000002</v>
      </c>
    </row>
    <row r="105" spans="1:9">
      <c r="A105" t="inlineStr">
        <is>
          <t>DSP-1001660021704-B-A09</t>
        </is>
      </c>
      <c r="B105" t="s">
        <v>101</v>
      </c>
      <c r="C105" t="s">
        <v>101</v>
      </c>
      <c r="D105" t="s">
        <v>2</v>
      </c>
      <c r="E105" t="s">
        <f>"008"</f>
        <v>12</v>
      </c>
      <c r="F105" t="s">
        <v>4</v>
      </c>
      <c r="G105" t="s">
        <v>5</v>
      </c>
      <c r="H105" s="1">
        <v>61901.43</v>
      </c>
    </row>
    <row r="106" spans="1:9">
      <c r="A106" t="inlineStr">
        <is>
          <t>DSP-1001660021704-B-A10</t>
        </is>
      </c>
      <c r="B106" t="s">
        <v>101</v>
      </c>
      <c r="C106" t="s">
        <v>101</v>
      </c>
      <c r="D106" t="s">
        <v>2</v>
      </c>
      <c r="E106" t="s">
        <f>"009"</f>
        <v>13</v>
      </c>
      <c r="F106" t="s">
        <v>4</v>
      </c>
      <c r="G106" t="s">
        <v>5</v>
      </c>
      <c r="H106" s="1">
        <v>26165.740000000002</v>
      </c>
    </row>
    <row r="107" spans="1:9">
      <c r="A107" t="inlineStr">
        <is>
          <t>DSP-1001660021704-B-A11</t>
        </is>
      </c>
      <c r="B107" t="s">
        <v>101</v>
      </c>
      <c r="C107" t="s">
        <v>101</v>
      </c>
      <c r="D107" t="s">
        <v>2</v>
      </c>
      <c r="E107" t="s">
        <f>"010"</f>
        <v>14</v>
      </c>
      <c r="F107" t="s">
        <v>4</v>
      </c>
      <c r="G107" t="s">
        <v>5</v>
      </c>
      <c r="H107" s="1">
        <v>15452.610000000001</v>
      </c>
    </row>
    <row r="108" spans="1:9">
      <c r="A108" t="inlineStr">
        <is>
          <t>DSP-1001660021704-B-A12</t>
        </is>
      </c>
      <c r="B108" t="s">
        <v>101</v>
      </c>
      <c r="C108" t="s">
        <v>101</v>
      </c>
      <c r="D108" t="s">
        <v>2</v>
      </c>
      <c r="E108" t="s">
        <f>"011"</f>
        <v>15</v>
      </c>
      <c r="F108" t="s">
        <v>4</v>
      </c>
      <c r="G108" t="s">
        <v>5</v>
      </c>
      <c r="H108" s="1">
        <v>44493.440000000002</v>
      </c>
    </row>
    <row r="109" spans="1:9">
      <c r="A109" t="inlineStr">
        <is>
          <t>DSP-1001660021704-B-B01</t>
        </is>
      </c>
      <c r="B109" t="s">
        <v>101</v>
      </c>
      <c r="C109" t="s">
        <v>101</v>
      </c>
      <c r="D109" t="s">
        <v>2</v>
      </c>
      <c r="E109" t="s">
        <f>"012"</f>
        <v>16</v>
      </c>
      <c r="F109" t="s">
        <v>4</v>
      </c>
      <c r="G109" t="s">
        <v>5</v>
      </c>
      <c r="H109" s="1">
        <v>53306.529999999999</v>
      </c>
    </row>
    <row r="110" spans="1:9">
      <c r="A110" t="inlineStr">
        <is>
          <t>DSP-1001660021704-B-B02</t>
        </is>
      </c>
      <c r="B110" t="s">
        <v>101</v>
      </c>
      <c r="C110" t="s">
        <v>101</v>
      </c>
      <c r="D110" t="s">
        <v>2</v>
      </c>
      <c r="E110" t="s">
        <f>"013"</f>
        <v>17</v>
      </c>
      <c r="F110" t="s">
        <v>4</v>
      </c>
      <c r="G110" t="s">
        <v>5</v>
      </c>
      <c r="H110" s="1">
        <v>41936.589999999997</v>
      </c>
    </row>
    <row r="111" spans="1:9">
      <c r="A111" t="inlineStr">
        <is>
          <t>DSP-1001660021704-B-B03</t>
        </is>
      </c>
      <c r="B111" t="s">
        <v>101</v>
      </c>
      <c r="C111" t="s">
        <v>101</v>
      </c>
      <c r="D111" t="s">
        <v>2</v>
      </c>
      <c r="E111" t="s">
        <f>"014"</f>
        <v>18</v>
      </c>
      <c r="F111" t="s">
        <v>4</v>
      </c>
      <c r="G111" t="s">
        <v>5</v>
      </c>
      <c r="H111" s="1">
        <v>22135.709999999999</v>
      </c>
    </row>
    <row r="112" spans="1:9">
      <c r="A112" t="inlineStr">
        <is>
          <t>DSP-1001660021704-B-B04</t>
        </is>
      </c>
      <c r="B112" t="s">
        <v>101</v>
      </c>
      <c r="C112" t="s">
        <v>101</v>
      </c>
      <c r="D112" t="s">
        <v>2</v>
      </c>
      <c r="E112" t="s">
        <f>"015"</f>
        <v>19</v>
      </c>
      <c r="F112" t="s">
        <v>4</v>
      </c>
      <c r="G112" t="s">
        <v>5</v>
      </c>
      <c r="H112" s="1">
        <v>109394.64</v>
      </c>
    </row>
    <row r="113" spans="1:9">
      <c r="A113" t="inlineStr">
        <is>
          <t>DSP-1001660021704-B-B05</t>
        </is>
      </c>
      <c r="B113" t="s">
        <v>101</v>
      </c>
      <c r="C113" t="s">
        <v>101</v>
      </c>
      <c r="D113" t="s">
        <v>2</v>
      </c>
      <c r="E113" t="s">
        <f>"016"</f>
        <v>20</v>
      </c>
      <c r="F113" t="s">
        <v>4</v>
      </c>
      <c r="G113" t="s">
        <v>5</v>
      </c>
      <c r="H113" s="1">
        <v>106969</v>
      </c>
    </row>
    <row r="114" spans="1:9">
      <c r="A114" t="inlineStr">
        <is>
          <t>DSP-1001660021704-B-B06</t>
        </is>
      </c>
      <c r="B114" t="s">
        <v>101</v>
      </c>
      <c r="C114" t="s">
        <v>101</v>
      </c>
      <c r="D114" t="s">
        <v>2</v>
      </c>
      <c r="E114" t="s">
        <f>"017"</f>
        <v>21</v>
      </c>
      <c r="F114" t="s">
        <v>4</v>
      </c>
      <c r="G114" t="s">
        <v>5</v>
      </c>
      <c r="H114" s="1">
        <v>69070.070000000007</v>
      </c>
    </row>
    <row r="115" spans="1:9">
      <c r="A115" t="inlineStr">
        <is>
          <t>DSP-1001660021704-B-B07</t>
        </is>
      </c>
      <c r="B115" t="s">
        <v>101</v>
      </c>
      <c r="C115" t="s">
        <v>101</v>
      </c>
      <c r="D115" t="s">
        <v>2</v>
      </c>
      <c r="E115" t="s">
        <f>"018"</f>
        <v>22</v>
      </c>
      <c r="F115" t="s">
        <v>4</v>
      </c>
      <c r="G115" t="s">
        <v>5</v>
      </c>
      <c r="H115" s="1">
        <v>140770.79000000001</v>
      </c>
    </row>
    <row r="116" spans="1:9">
      <c r="A116" t="inlineStr">
        <is>
          <t>DSP-1001660021704-B-B08</t>
        </is>
      </c>
      <c r="B116" t="s">
        <v>101</v>
      </c>
      <c r="C116" t="s">
        <v>101</v>
      </c>
      <c r="D116" t="s">
        <v>2</v>
      </c>
      <c r="E116" t="s">
        <f>"019"</f>
        <v>23</v>
      </c>
      <c r="F116" t="s">
        <v>4</v>
      </c>
      <c r="G116" t="s">
        <v>5</v>
      </c>
      <c r="H116" s="1">
        <v>121368.3</v>
      </c>
    </row>
    <row r="117" spans="1:9">
      <c r="A117" t="inlineStr">
        <is>
          <t>DSP-1001660021704-B-B09</t>
        </is>
      </c>
      <c r="B117" t="s">
        <v>101</v>
      </c>
      <c r="C117" t="s">
        <v>101</v>
      </c>
      <c r="D117" t="s">
        <v>2</v>
      </c>
      <c r="E117" t="s">
        <f>"020"</f>
        <v>24</v>
      </c>
      <c r="F117" t="s">
        <v>4</v>
      </c>
      <c r="G117" t="s">
        <v>5</v>
      </c>
      <c r="H117" s="1">
        <v>85114.149999999994</v>
      </c>
    </row>
    <row r="118" spans="1:9">
      <c r="A118" t="inlineStr">
        <is>
          <t>DSP-1001660021704-B-B10</t>
        </is>
      </c>
      <c r="B118" t="s">
        <v>101</v>
      </c>
      <c r="C118" t="s">
        <v>101</v>
      </c>
      <c r="D118" t="s">
        <v>2</v>
      </c>
      <c r="E118" t="s">
        <f>"021"</f>
        <v>25</v>
      </c>
      <c r="F118" t="s">
        <v>4</v>
      </c>
      <c r="G118" t="s">
        <v>5</v>
      </c>
      <c r="H118" s="1">
        <v>72123.919999999998</v>
      </c>
    </row>
    <row r="119" spans="1:9">
      <c r="A119" t="inlineStr">
        <is>
          <t>DSP-1001660021704-B-B11</t>
        </is>
      </c>
      <c r="B119" t="s">
        <v>101</v>
      </c>
      <c r="C119" t="s">
        <v>101</v>
      </c>
      <c r="D119" t="s">
        <v>2</v>
      </c>
      <c r="E119" t="s">
        <f>"022"</f>
        <v>26</v>
      </c>
      <c r="F119" t="s">
        <v>4</v>
      </c>
      <c r="G119" t="s">
        <v>5</v>
      </c>
      <c r="H119" s="1">
        <v>51847.839999999997</v>
      </c>
    </row>
    <row r="120" spans="1:9">
      <c r="A120" t="inlineStr">
        <is>
          <t>DSP-1001660021704-B-B12</t>
        </is>
      </c>
      <c r="B120" t="s">
        <v>101</v>
      </c>
      <c r="C120" t="s">
        <v>101</v>
      </c>
      <c r="D120" t="s">
        <v>2</v>
      </c>
      <c r="E120" t="s">
        <f>"023"</f>
        <v>27</v>
      </c>
      <c r="F120" t="s">
        <v>4</v>
      </c>
      <c r="G120" t="s">
        <v>5</v>
      </c>
      <c r="H120" s="1">
        <v>103922.62</v>
      </c>
    </row>
    <row r="121" spans="1:9">
      <c r="A121" t="inlineStr">
        <is>
          <t>DSP-1001660021704-B-C01</t>
        </is>
      </c>
      <c r="B121" t="s">
        <v>101</v>
      </c>
      <c r="C121" t="s">
        <v>101</v>
      </c>
      <c r="D121" t="s">
        <v>2</v>
      </c>
      <c r="E121" t="s">
        <f>"024"</f>
        <v>28</v>
      </c>
      <c r="F121" t="s">
        <v>4</v>
      </c>
      <c r="G121" t="s">
        <v>5</v>
      </c>
      <c r="H121" s="1">
        <v>74437.919999999998</v>
      </c>
    </row>
    <row r="122" spans="1:9">
      <c r="A122" t="inlineStr">
        <is>
          <t>DSP-1001660021704-B-C02</t>
        </is>
      </c>
      <c r="B122" t="s">
        <v>101</v>
      </c>
      <c r="C122" t="s">
        <v>101</v>
      </c>
      <c r="D122" t="s">
        <v>2</v>
      </c>
      <c r="E122" t="s">
        <f>"025"</f>
        <v>29</v>
      </c>
      <c r="F122" t="s">
        <v>4</v>
      </c>
      <c r="G122" t="s">
        <v>5</v>
      </c>
      <c r="H122" s="1">
        <v>71027.669999999998</v>
      </c>
    </row>
    <row r="123" spans="1:9">
      <c r="A123" t="inlineStr">
        <is>
          <t>DSP-1001660021704-B-C03</t>
        </is>
      </c>
      <c r="B123" t="s">
        <v>101</v>
      </c>
      <c r="C123" t="s">
        <v>101</v>
      </c>
      <c r="D123" t="s">
        <v>2</v>
      </c>
      <c r="E123" t="s">
        <f>"026"</f>
        <v>30</v>
      </c>
      <c r="F123" t="s">
        <v>4</v>
      </c>
      <c r="G123" t="s">
        <v>5</v>
      </c>
      <c r="H123" s="1">
        <v>74688.089999999997</v>
      </c>
    </row>
    <row r="124" spans="1:9">
      <c r="A124" t="inlineStr">
        <is>
          <t>DSP-1001660021704-B-C04</t>
        </is>
      </c>
      <c r="B124" t="s">
        <v>101</v>
      </c>
      <c r="C124" t="s">
        <v>101</v>
      </c>
      <c r="D124" t="s">
        <v>2</v>
      </c>
      <c r="E124" t="s">
        <f>"027"</f>
        <v>31</v>
      </c>
      <c r="F124" t="s">
        <v>4</v>
      </c>
      <c r="G124" t="s">
        <v>5</v>
      </c>
      <c r="H124" s="1">
        <v>70714.520000000004</v>
      </c>
    </row>
    <row r="125" spans="1:9">
      <c r="A125" t="inlineStr">
        <is>
          <t>DSP-1001660021704-B-C05</t>
        </is>
      </c>
      <c r="B125" t="s">
        <v>101</v>
      </c>
      <c r="C125" t="s">
        <v>101</v>
      </c>
      <c r="D125" t="s">
        <v>2</v>
      </c>
      <c r="E125" t="s">
        <f>"028"</f>
        <v>32</v>
      </c>
      <c r="F125" t="s">
        <v>4</v>
      </c>
      <c r="G125" t="s">
        <v>5</v>
      </c>
      <c r="H125" s="1">
        <v>61933.239999999998</v>
      </c>
    </row>
    <row r="126" spans="1:9">
      <c r="A126" t="inlineStr">
        <is>
          <t>DSP-1001660021704-B-C06</t>
        </is>
      </c>
      <c r="B126" t="s">
        <v>101</v>
      </c>
      <c r="C126" t="s">
        <v>101</v>
      </c>
      <c r="D126" t="s">
        <v>2</v>
      </c>
      <c r="E126" t="s">
        <f>"029"</f>
        <v>33</v>
      </c>
      <c r="F126" t="s">
        <v>4</v>
      </c>
      <c r="G126" t="s">
        <v>5</v>
      </c>
      <c r="H126" s="1">
        <v>56644.110000000001</v>
      </c>
    </row>
    <row r="127" spans="1:9">
      <c r="A127" t="inlineStr">
        <is>
          <t>DSP-1001660021704-B-C07</t>
        </is>
      </c>
      <c r="B127" t="s">
        <v>101</v>
      </c>
      <c r="C127" t="s">
        <v>101</v>
      </c>
      <c r="D127" t="s">
        <v>2</v>
      </c>
      <c r="E127" t="s">
        <f>"030"</f>
        <v>34</v>
      </c>
      <c r="F127" t="s">
        <v>4</v>
      </c>
      <c r="G127" t="s">
        <v>5</v>
      </c>
      <c r="H127" s="1">
        <v>52508</v>
      </c>
    </row>
    <row r="128" spans="1:9">
      <c r="A128" t="inlineStr">
        <is>
          <t>DSP-1001660021704-B-C08</t>
        </is>
      </c>
      <c r="B128" t="s">
        <v>101</v>
      </c>
      <c r="C128" t="s">
        <v>101</v>
      </c>
      <c r="D128" t="s">
        <v>2</v>
      </c>
      <c r="E128" t="s">
        <f>"031"</f>
        <v>35</v>
      </c>
      <c r="F128" t="s">
        <v>4</v>
      </c>
      <c r="G128" t="s">
        <v>5</v>
      </c>
      <c r="H128" s="1">
        <v>53296.510000000002</v>
      </c>
    </row>
    <row r="129" spans="1:9">
      <c r="A129" t="inlineStr">
        <is>
          <t>DSP-1001660021704-B-C09</t>
        </is>
      </c>
      <c r="B129" t="s">
        <v>101</v>
      </c>
      <c r="C129" t="s">
        <v>101</v>
      </c>
      <c r="D129" t="s">
        <v>2</v>
      </c>
      <c r="E129" t="s">
        <f>"032"</f>
        <v>36</v>
      </c>
      <c r="F129" t="s">
        <v>4</v>
      </c>
      <c r="G129" t="s">
        <v>5</v>
      </c>
      <c r="H129" s="1">
        <v>73965.899999999994</v>
      </c>
    </row>
    <row r="130" spans="1:9">
      <c r="A130" t="inlineStr">
        <is>
          <t>DSP-1001660021704-B-C10</t>
        </is>
      </c>
      <c r="B130" t="s">
        <v>101</v>
      </c>
      <c r="C130" t="s">
        <v>101</v>
      </c>
      <c r="D130" t="s">
        <v>2</v>
      </c>
      <c r="E130" t="s">
        <f>"033"</f>
        <v>37</v>
      </c>
      <c r="F130" t="s">
        <v>4</v>
      </c>
      <c r="G130" t="s">
        <v>5</v>
      </c>
      <c r="H130" s="1">
        <v>64686.029999999999</v>
      </c>
    </row>
    <row r="131" spans="1:9">
      <c r="A131" t="inlineStr">
        <is>
          <t>DSP-1001660021704-B-C11</t>
        </is>
      </c>
      <c r="B131" t="s">
        <v>101</v>
      </c>
      <c r="C131" t="s">
        <v>101</v>
      </c>
      <c r="D131" t="s">
        <v>2</v>
      </c>
      <c r="E131" t="s">
        <f>"034"</f>
        <v>38</v>
      </c>
      <c r="F131" t="s">
        <v>4</v>
      </c>
      <c r="G131" t="s">
        <v>5</v>
      </c>
      <c r="H131" s="1">
        <v>58082.769999999997</v>
      </c>
    </row>
    <row r="132" spans="1:9">
      <c r="A132" t="inlineStr">
        <is>
          <t>DSP-1001660021704-B-C12</t>
        </is>
      </c>
      <c r="B132" t="s">
        <v>101</v>
      </c>
      <c r="C132" t="s">
        <v>101</v>
      </c>
      <c r="D132" t="s">
        <v>2</v>
      </c>
      <c r="E132" t="s">
        <f>"035"</f>
        <v>39</v>
      </c>
      <c r="F132" t="s">
        <v>4</v>
      </c>
      <c r="G132" t="s">
        <v>5</v>
      </c>
      <c r="H132" s="1">
        <v>63847.889999999999</v>
      </c>
    </row>
    <row r="133" spans="1:9">
      <c r="A133" t="inlineStr">
        <is>
          <t>DSP-1001660021704-B-D01</t>
        </is>
      </c>
      <c r="B133" t="s">
        <v>101</v>
      </c>
      <c r="C133" t="s">
        <v>101</v>
      </c>
      <c r="D133" t="s">
        <v>2</v>
      </c>
      <c r="E133" t="s">
        <f>"036"</f>
        <v>40</v>
      </c>
      <c r="F133" t="s">
        <v>4</v>
      </c>
      <c r="G133" t="s">
        <v>5</v>
      </c>
      <c r="H133" s="1">
        <v>72272.779999999999</v>
      </c>
    </row>
    <row r="134" spans="1:9">
      <c r="A134" t="inlineStr">
        <is>
          <t>DSP-1001660021704-B-D02</t>
        </is>
      </c>
      <c r="B134" t="s">
        <v>101</v>
      </c>
      <c r="C134" t="s">
        <v>101</v>
      </c>
      <c r="D134" t="s">
        <v>2</v>
      </c>
      <c r="E134" t="s">
        <f>"037"</f>
        <v>41</v>
      </c>
      <c r="F134" t="s">
        <v>4</v>
      </c>
      <c r="G134" t="s">
        <v>5</v>
      </c>
      <c r="H134" s="1">
        <v>58788.739999999998</v>
      </c>
    </row>
    <row r="135" spans="1:9">
      <c r="A135" t="inlineStr">
        <is>
          <t>DSP-1001660021704-B-D03</t>
        </is>
      </c>
      <c r="B135" t="s">
        <v>101</v>
      </c>
      <c r="C135" t="s">
        <v>101</v>
      </c>
      <c r="D135" t="s">
        <v>2</v>
      </c>
      <c r="E135" t="s">
        <f>"038"</f>
        <v>42</v>
      </c>
      <c r="F135" t="s">
        <v>4</v>
      </c>
      <c r="G135" t="s">
        <v>5</v>
      </c>
      <c r="H135" s="1">
        <v>62186.419999999998</v>
      </c>
    </row>
    <row r="136" spans="1:9">
      <c r="A136" t="inlineStr">
        <is>
          <t>DSP-1001660021704-B-D04</t>
        </is>
      </c>
      <c r="B136" t="s">
        <v>101</v>
      </c>
      <c r="C136" t="s">
        <v>101</v>
      </c>
      <c r="D136" t="s">
        <v>2</v>
      </c>
      <c r="E136" t="s">
        <f>"039"</f>
        <v>43</v>
      </c>
      <c r="F136" t="s">
        <v>4</v>
      </c>
      <c r="G136" t="s">
        <v>5</v>
      </c>
      <c r="H136" s="1">
        <v>68407.039999999994</v>
      </c>
    </row>
    <row r="137" spans="1:9">
      <c r="A137" t="inlineStr">
        <is>
          <t>DSP-1001660021704-B-D05</t>
        </is>
      </c>
      <c r="B137" t="s">
        <v>101</v>
      </c>
      <c r="C137" t="s">
        <v>101</v>
      </c>
      <c r="D137" t="s">
        <v>2</v>
      </c>
      <c r="E137" t="s">
        <f>"040"</f>
        <v>44</v>
      </c>
      <c r="F137" t="s">
        <v>4</v>
      </c>
      <c r="G137" t="s">
        <v>5</v>
      </c>
      <c r="H137" s="1">
        <v>74314.830000000002</v>
      </c>
    </row>
    <row r="138" spans="1:9">
      <c r="A138" t="inlineStr">
        <is>
          <t>DSP-1001660021704-B-D06</t>
        </is>
      </c>
      <c r="B138" t="s">
        <v>101</v>
      </c>
      <c r="C138" t="s">
        <v>101</v>
      </c>
      <c r="D138" t="s">
        <v>2</v>
      </c>
      <c r="E138" t="s">
        <f>"041"</f>
        <v>47</v>
      </c>
      <c r="F138" t="s">
        <v>4</v>
      </c>
      <c r="G138" t="s">
        <v>5</v>
      </c>
      <c r="H138" s="1">
        <v>87291.539999999994</v>
      </c>
    </row>
    <row r="139" spans="1:9">
      <c r="A139" t="inlineStr">
        <is>
          <t>DSP-1001660021704-B-D07</t>
        </is>
      </c>
      <c r="B139" t="s">
        <v>101</v>
      </c>
      <c r="C139" t="s">
        <v>101</v>
      </c>
      <c r="D139" t="s">
        <v>2</v>
      </c>
      <c r="E139" t="s">
        <f>"042"</f>
        <v>48</v>
      </c>
      <c r="F139" t="s">
        <v>4</v>
      </c>
      <c r="G139" t="s">
        <v>5</v>
      </c>
      <c r="H139" s="1">
        <v>91910</v>
      </c>
    </row>
    <row r="140" spans="1:9">
      <c r="A140" t="inlineStr">
        <is>
          <t>DSP-1001660021704-B-D08</t>
        </is>
      </c>
      <c r="B140" t="s">
        <v>101</v>
      </c>
      <c r="C140" t="s">
        <v>101</v>
      </c>
      <c r="D140" t="s">
        <v>2</v>
      </c>
      <c r="E140" t="s">
        <f>"043"</f>
        <v>49</v>
      </c>
      <c r="F140" t="s">
        <v>4</v>
      </c>
      <c r="G140" t="s">
        <v>5</v>
      </c>
      <c r="H140" s="1">
        <v>128595.14999999999</v>
      </c>
    </row>
    <row r="141" spans="1:9">
      <c r="A141" t="inlineStr">
        <is>
          <t>DSP-1001660021704-B-D09</t>
        </is>
      </c>
      <c r="B141" t="s">
        <v>101</v>
      </c>
      <c r="C141" t="s">
        <v>101</v>
      </c>
      <c r="D141" t="s">
        <v>2</v>
      </c>
      <c r="E141" t="s">
        <f>"044"</f>
        <v>50</v>
      </c>
      <c r="F141" t="s">
        <v>4</v>
      </c>
      <c r="G141" t="s">
        <v>5</v>
      </c>
      <c r="H141" s="1">
        <v>61378.669999999998</v>
      </c>
    </row>
    <row r="142" spans="1:9">
      <c r="A142" t="inlineStr">
        <is>
          <t>DSP-1001660021704-B-D10</t>
        </is>
      </c>
      <c r="B142" t="s">
        <v>101</v>
      </c>
      <c r="C142" t="s">
        <v>101</v>
      </c>
      <c r="D142" t="s">
        <v>2</v>
      </c>
      <c r="E142" t="s">
        <f>"045"</f>
        <v>51</v>
      </c>
      <c r="F142" t="s">
        <v>4</v>
      </c>
      <c r="G142" t="s">
        <v>5</v>
      </c>
      <c r="H142" s="1">
        <v>25998.43</v>
      </c>
    </row>
    <row r="143" spans="1:9">
      <c r="A143" t="inlineStr">
        <is>
          <t>DSP-1001660021704-B-D11</t>
        </is>
      </c>
      <c r="B143" t="s">
        <v>101</v>
      </c>
      <c r="C143" t="s">
        <v>101</v>
      </c>
      <c r="D143" t="s">
        <v>2</v>
      </c>
      <c r="E143" t="s">
        <f>"046"</f>
        <v>52</v>
      </c>
      <c r="F143" t="s">
        <v>45</v>
      </c>
      <c r="G143" t="s">
        <v>46</v>
      </c>
      <c r="H143" s="1">
        <v>282533.16999999998</v>
      </c>
    </row>
    <row r="144" spans="1:9">
      <c r="A144" t="inlineStr">
        <is>
          <t>DSP-1001660021704-B-D12</t>
        </is>
      </c>
      <c r="B144" t="s">
        <v>101</v>
      </c>
      <c r="C144" t="s">
        <v>101</v>
      </c>
      <c r="D144" t="s">
        <v>2</v>
      </c>
      <c r="E144" t="s">
        <f>"047"</f>
        <v>53</v>
      </c>
      <c r="F144" t="s">
        <v>45</v>
      </c>
      <c r="G144" t="s">
        <v>46</v>
      </c>
      <c r="H144" s="1">
        <v>282533.16999999998</v>
      </c>
    </row>
    <row r="145" spans="1:9">
      <c r="A145" t="inlineStr">
        <is>
          <t>DSP-1001660021704-B-E01</t>
        </is>
      </c>
      <c r="B145" t="s">
        <v>101</v>
      </c>
      <c r="C145" t="s">
        <v>101</v>
      </c>
      <c r="D145" t="s">
        <v>2</v>
      </c>
      <c r="E145" t="s">
        <f>"048"</f>
        <v>54</v>
      </c>
      <c r="F145" t="s">
        <v>45</v>
      </c>
      <c r="G145" t="s">
        <v>46</v>
      </c>
      <c r="H145" s="1">
        <v>282533.16999999998</v>
      </c>
    </row>
    <row r="146" spans="1:9">
      <c r="A146" t="inlineStr">
        <is>
          <t>DSP-1001660021704-B-E02</t>
        </is>
      </c>
      <c r="B146" t="s">
        <v>101</v>
      </c>
      <c r="C146" t="s">
        <v>101</v>
      </c>
      <c r="D146" t="s">
        <v>2</v>
      </c>
      <c r="E146" t="s">
        <f>"049"</f>
        <v>55</v>
      </c>
      <c r="F146" t="s">
        <v>45</v>
      </c>
      <c r="G146" t="s">
        <v>46</v>
      </c>
      <c r="H146" s="1">
        <v>282533.16999999998</v>
      </c>
    </row>
    <row r="147" spans="1:9">
      <c r="A147" t="inlineStr">
        <is>
          <t>DSP-1001660021704-B-E03</t>
        </is>
      </c>
      <c r="B147" t="s">
        <v>101</v>
      </c>
      <c r="C147" t="s">
        <v>101</v>
      </c>
      <c r="D147" t="s">
        <v>2</v>
      </c>
      <c r="E147" t="s">
        <f>"050"</f>
        <v>56</v>
      </c>
      <c r="F147" t="s">
        <v>45</v>
      </c>
      <c r="G147" t="s">
        <v>46</v>
      </c>
      <c r="H147" s="1">
        <v>282533.16999999998</v>
      </c>
    </row>
    <row r="148" spans="1:9">
      <c r="A148" t="inlineStr">
        <is>
          <t>DSP-1001660021704-B-E04</t>
        </is>
      </c>
      <c r="B148" t="s">
        <v>101</v>
      </c>
      <c r="C148" t="s">
        <v>101</v>
      </c>
      <c r="D148" t="s">
        <v>2</v>
      </c>
      <c r="E148" t="s">
        <f>"051"</f>
        <v>57</v>
      </c>
      <c r="F148" t="s">
        <v>45</v>
      </c>
      <c r="G148" t="s">
        <v>46</v>
      </c>
      <c r="H148" s="1">
        <v>282533.16999999998</v>
      </c>
    </row>
    <row r="149" spans="1:9">
      <c r="A149" t="inlineStr">
        <is>
          <t>DSP-1001660021704-B-E05</t>
        </is>
      </c>
      <c r="B149" t="s">
        <v>101</v>
      </c>
      <c r="C149" t="s">
        <v>101</v>
      </c>
      <c r="D149" t="s">
        <v>2</v>
      </c>
      <c r="E149" t="s">
        <f>"052"</f>
        <v>58</v>
      </c>
      <c r="F149" t="s">
        <v>45</v>
      </c>
      <c r="G149" t="s">
        <v>46</v>
      </c>
      <c r="H149" s="1">
        <v>311922.92999999999</v>
      </c>
    </row>
    <row r="150" spans="1:9">
      <c r="A150" t="inlineStr">
        <is>
          <t>DSP-1001660021704-B-E06</t>
        </is>
      </c>
      <c r="B150" t="s">
        <v>101</v>
      </c>
      <c r="C150" t="s">
        <v>101</v>
      </c>
      <c r="D150" t="s">
        <v>2</v>
      </c>
      <c r="E150" t="s">
        <f>"053"</f>
        <v>59</v>
      </c>
      <c r="F150" t="s">
        <v>45</v>
      </c>
      <c r="G150" t="s">
        <v>46</v>
      </c>
      <c r="H150" s="1">
        <v>126061.2</v>
      </c>
    </row>
    <row r="151" spans="1:9">
      <c r="A151" t="inlineStr">
        <is>
          <t>DSP-1001660021704-B-E07</t>
        </is>
      </c>
      <c r="B151" t="s">
        <v>101</v>
      </c>
      <c r="C151" t="s">
        <v>101</v>
      </c>
      <c r="D151" t="s">
        <v>2</v>
      </c>
      <c r="E151" t="s">
        <f>"054"</f>
        <v>60</v>
      </c>
      <c r="F151" t="s">
        <v>45</v>
      </c>
      <c r="G151" t="s">
        <v>46</v>
      </c>
      <c r="H151" s="1">
        <v>282533.16999999998</v>
      </c>
    </row>
    <row r="152" spans="1:9">
      <c r="A152" t="inlineStr">
        <is>
          <t>DSP-1001660021704-B-E08</t>
        </is>
      </c>
      <c r="B152" t="s">
        <v>101</v>
      </c>
      <c r="C152" t="s">
        <v>101</v>
      </c>
      <c r="D152" t="s">
        <v>2</v>
      </c>
      <c r="E152" t="s">
        <f>"055"</f>
        <v>61</v>
      </c>
      <c r="F152" t="s">
        <v>45</v>
      </c>
      <c r="G152" t="s">
        <v>46</v>
      </c>
      <c r="H152" s="1">
        <v>282533.16999999998</v>
      </c>
    </row>
    <row r="153" spans="1:9">
      <c r="A153" t="inlineStr">
        <is>
          <t>DSP-1001660021704-B-E09</t>
        </is>
      </c>
      <c r="B153" t="s">
        <v>101</v>
      </c>
      <c r="C153" t="s">
        <v>101</v>
      </c>
      <c r="D153" t="s">
        <v>2</v>
      </c>
      <c r="E153" t="s">
        <f>"056"</f>
        <v>62</v>
      </c>
      <c r="F153" t="s">
        <v>45</v>
      </c>
      <c r="G153" t="s">
        <v>46</v>
      </c>
      <c r="H153" s="1">
        <v>282533.16999999998</v>
      </c>
    </row>
    <row r="154" spans="1:9">
      <c r="A154" t="inlineStr">
        <is>
          <t>DSP-1001660021704-B-E10</t>
        </is>
      </c>
      <c r="B154" t="s">
        <v>101</v>
      </c>
      <c r="C154" t="s">
        <v>101</v>
      </c>
      <c r="D154" t="s">
        <v>2</v>
      </c>
      <c r="E154" t="s">
        <f>"057"</f>
        <v>63</v>
      </c>
      <c r="F154" t="s">
        <v>45</v>
      </c>
      <c r="G154" t="s">
        <v>46</v>
      </c>
      <c r="H154" s="1">
        <v>282533.16999999998</v>
      </c>
    </row>
    <row r="155" spans="1:9">
      <c r="A155" t="inlineStr">
        <is>
          <t>DSP-1001660021704-B-E11</t>
        </is>
      </c>
      <c r="B155" t="s">
        <v>101</v>
      </c>
      <c r="C155" t="s">
        <v>101</v>
      </c>
      <c r="D155" t="s">
        <v>2</v>
      </c>
      <c r="E155" t="s">
        <f>"058"</f>
        <v>64</v>
      </c>
      <c r="F155" t="s">
        <v>45</v>
      </c>
      <c r="G155" t="s">
        <v>46</v>
      </c>
      <c r="H155" s="1">
        <v>282533.16999999998</v>
      </c>
    </row>
    <row r="156" spans="1:9">
      <c r="A156" t="inlineStr">
        <is>
          <t>DSP-1001660021704-B-E12</t>
        </is>
      </c>
      <c r="B156" t="s">
        <v>101</v>
      </c>
      <c r="C156" t="s">
        <v>101</v>
      </c>
      <c r="D156" t="s">
        <v>2</v>
      </c>
      <c r="E156" t="s">
        <f>"059"</f>
        <v>65</v>
      </c>
      <c r="F156" t="s">
        <v>45</v>
      </c>
      <c r="G156" t="s">
        <v>46</v>
      </c>
      <c r="H156" s="1">
        <v>282533.16999999998</v>
      </c>
    </row>
    <row r="157" spans="1:9">
      <c r="A157" t="inlineStr">
        <is>
          <t>DSP-1001660021704-B-F01</t>
        </is>
      </c>
      <c r="B157" t="s">
        <v>101</v>
      </c>
      <c r="C157" t="s">
        <v>101</v>
      </c>
      <c r="D157" t="s">
        <v>2</v>
      </c>
      <c r="E157" t="s">
        <f>"060"</f>
        <v>66</v>
      </c>
      <c r="F157" t="s">
        <v>45</v>
      </c>
      <c r="G157" t="s">
        <v>46</v>
      </c>
      <c r="H157" s="1">
        <v>282533.16999999998</v>
      </c>
    </row>
    <row r="158" spans="1:9">
      <c r="A158" t="inlineStr">
        <is>
          <t>DSP-1001660021704-B-F02</t>
        </is>
      </c>
      <c r="B158" t="s">
        <v>101</v>
      </c>
      <c r="C158" t="s">
        <v>101</v>
      </c>
      <c r="D158" t="s">
        <v>2</v>
      </c>
      <c r="E158" t="s">
        <f>"061"</f>
        <v>67</v>
      </c>
      <c r="F158" t="s">
        <v>45</v>
      </c>
      <c r="G158" t="s">
        <v>46</v>
      </c>
      <c r="H158" s="1">
        <v>178857.38</v>
      </c>
    </row>
    <row r="159" spans="1:9">
      <c r="A159" t="inlineStr">
        <is>
          <t>DSP-1001660021704-B-F03</t>
        </is>
      </c>
      <c r="B159" t="s">
        <v>101</v>
      </c>
      <c r="C159" t="s">
        <v>101</v>
      </c>
      <c r="D159" t="s">
        <v>2</v>
      </c>
      <c r="E159" t="s">
        <f>"062"</f>
        <v>68</v>
      </c>
      <c r="F159" t="s">
        <v>45</v>
      </c>
      <c r="G159" t="s">
        <v>46</v>
      </c>
      <c r="H159" s="1">
        <v>282533.16999999998</v>
      </c>
    </row>
    <row r="160" spans="1:9">
      <c r="A160" t="inlineStr">
        <is>
          <t>DSP-1001660021704-B-F04</t>
        </is>
      </c>
      <c r="B160" t="s">
        <v>101</v>
      </c>
      <c r="C160" t="s">
        <v>101</v>
      </c>
      <c r="D160" t="s">
        <v>2</v>
      </c>
      <c r="E160" t="s">
        <f>"063"</f>
        <v>69</v>
      </c>
      <c r="F160" t="s">
        <v>45</v>
      </c>
      <c r="G160" t="s">
        <v>46</v>
      </c>
      <c r="H160" s="1">
        <v>282533.16999999998</v>
      </c>
    </row>
    <row r="161" spans="1:9">
      <c r="A161" t="inlineStr">
        <is>
          <t>DSP-1001660021704-B-F05</t>
        </is>
      </c>
      <c r="B161" t="s">
        <v>101</v>
      </c>
      <c r="C161" t="s">
        <v>101</v>
      </c>
      <c r="D161" t="s">
        <v>2</v>
      </c>
      <c r="E161" t="s">
        <f>"064"</f>
        <v>70</v>
      </c>
      <c r="F161" t="s">
        <v>45</v>
      </c>
      <c r="G161" t="s">
        <v>46</v>
      </c>
      <c r="H161" s="1">
        <v>282533.16999999998</v>
      </c>
    </row>
    <row r="162" spans="1:9">
      <c r="A162" t="inlineStr">
        <is>
          <t>DSP-1001660021704-B-F06</t>
        </is>
      </c>
      <c r="B162" t="s">
        <v>101</v>
      </c>
      <c r="C162" t="s">
        <v>101</v>
      </c>
      <c r="D162" t="s">
        <v>2</v>
      </c>
      <c r="E162" t="s">
        <f>"065"</f>
        <v>71</v>
      </c>
      <c r="F162" t="s">
        <v>45</v>
      </c>
      <c r="G162" t="s">
        <v>46</v>
      </c>
      <c r="H162" s="1">
        <v>282533.16999999998</v>
      </c>
    </row>
    <row r="163" spans="1:9">
      <c r="A163" t="inlineStr">
        <is>
          <t>DSP-1001660021704-B-F07</t>
        </is>
      </c>
      <c r="B163" t="s">
        <v>101</v>
      </c>
      <c r="C163" t="s">
        <v>101</v>
      </c>
      <c r="D163" t="s">
        <v>2</v>
      </c>
      <c r="E163" t="s">
        <f>"066"</f>
        <v>72</v>
      </c>
      <c r="F163" t="s">
        <v>45</v>
      </c>
      <c r="G163" t="s">
        <v>46</v>
      </c>
      <c r="H163" s="1">
        <v>282533.16999999998</v>
      </c>
    </row>
    <row r="164" spans="1:9">
      <c r="A164" t="inlineStr">
        <is>
          <t>DSP-1001660021704-B-F08</t>
        </is>
      </c>
      <c r="B164" t="s">
        <v>101</v>
      </c>
      <c r="C164" t="s">
        <v>101</v>
      </c>
      <c r="D164" t="s">
        <v>2</v>
      </c>
      <c r="E164" t="s">
        <f>"067"</f>
        <v>73</v>
      </c>
      <c r="F164" t="s">
        <v>45</v>
      </c>
      <c r="G164" t="s">
        <v>46</v>
      </c>
      <c r="H164" s="1">
        <v>282533.16999999998</v>
      </c>
    </row>
    <row r="165" spans="1:9">
      <c r="A165" t="inlineStr">
        <is>
          <t>DSP-1001660021704-B-F09</t>
        </is>
      </c>
      <c r="B165" t="s">
        <v>101</v>
      </c>
      <c r="C165" t="s">
        <v>101</v>
      </c>
      <c r="D165" t="s">
        <v>2</v>
      </c>
      <c r="E165" t="s">
        <f>"068"</f>
        <v>74</v>
      </c>
      <c r="F165" t="s">
        <v>45</v>
      </c>
      <c r="G165" t="s">
        <v>46</v>
      </c>
      <c r="H165" s="1">
        <v>282533.16999999998</v>
      </c>
    </row>
    <row r="166" spans="1:9">
      <c r="A166" t="inlineStr">
        <is>
          <t>DSP-1001660021704-B-F10</t>
        </is>
      </c>
      <c r="B166" t="s">
        <v>101</v>
      </c>
      <c r="C166" t="s">
        <v>101</v>
      </c>
      <c r="D166" t="s">
        <v>2</v>
      </c>
      <c r="E166" t="s">
        <f>"069"</f>
        <v>75</v>
      </c>
      <c r="F166" t="s">
        <v>45</v>
      </c>
      <c r="G166" t="s">
        <v>46</v>
      </c>
      <c r="H166" s="1">
        <v>282533.16999999998</v>
      </c>
    </row>
    <row r="167" spans="1:9">
      <c r="A167" t="inlineStr">
        <is>
          <t>DSP-1001660021704-B-F11</t>
        </is>
      </c>
      <c r="B167" t="s">
        <v>101</v>
      </c>
      <c r="C167" t="s">
        <v>101</v>
      </c>
      <c r="D167" t="s">
        <v>2</v>
      </c>
      <c r="E167" t="s">
        <f>"070"</f>
        <v>76</v>
      </c>
      <c r="F167" t="s">
        <v>45</v>
      </c>
      <c r="G167" t="s">
        <v>46</v>
      </c>
      <c r="H167" s="1">
        <v>282533.16999999998</v>
      </c>
    </row>
    <row r="168" spans="1:9">
      <c r="A168" t="inlineStr">
        <is>
          <t>DSP-1001660021704-B-F12</t>
        </is>
      </c>
      <c r="B168" t="s">
        <v>101</v>
      </c>
      <c r="C168" t="s">
        <v>101</v>
      </c>
      <c r="D168" t="s">
        <v>2</v>
      </c>
      <c r="E168" t="s">
        <f>"071"</f>
        <v>77</v>
      </c>
      <c r="F168" t="s">
        <v>45</v>
      </c>
      <c r="G168" t="s">
        <v>46</v>
      </c>
      <c r="H168" s="1">
        <v>282533.16999999998</v>
      </c>
    </row>
    <row r="169" spans="1:9">
      <c r="A169" t="inlineStr">
        <is>
          <t>DSP-1001660021704-B-G01</t>
        </is>
      </c>
      <c r="B169" t="s">
        <v>101</v>
      </c>
      <c r="C169" t="s">
        <v>101</v>
      </c>
      <c r="D169" t="s">
        <v>2</v>
      </c>
      <c r="E169" t="s">
        <f>"072"</f>
        <v>78</v>
      </c>
      <c r="F169" t="s">
        <v>45</v>
      </c>
      <c r="G169" t="s">
        <v>46</v>
      </c>
      <c r="H169" s="1">
        <v>282533.16999999998</v>
      </c>
    </row>
    <row r="170" spans="1:9">
      <c r="A170" t="inlineStr">
        <is>
          <t>DSP-1001660021704-B-G02</t>
        </is>
      </c>
      <c r="B170" t="s">
        <v>101</v>
      </c>
      <c r="C170" t="s">
        <v>101</v>
      </c>
      <c r="D170" t="s">
        <v>2</v>
      </c>
      <c r="E170" t="s">
        <f>"073"</f>
        <v>79</v>
      </c>
      <c r="F170" t="s">
        <v>45</v>
      </c>
      <c r="G170" t="s">
        <v>46</v>
      </c>
      <c r="H170" s="1">
        <v>282533.16999999998</v>
      </c>
    </row>
    <row r="171" spans="1:9">
      <c r="A171" t="inlineStr">
        <is>
          <t>DSP-1001660021704-B-G03</t>
        </is>
      </c>
      <c r="B171" t="s">
        <v>101</v>
      </c>
      <c r="C171" t="s">
        <v>101</v>
      </c>
      <c r="D171" t="s">
        <v>2</v>
      </c>
      <c r="E171" t="s">
        <f>"074"</f>
        <v>80</v>
      </c>
      <c r="F171" t="s">
        <v>45</v>
      </c>
      <c r="G171" t="s">
        <v>46</v>
      </c>
      <c r="H171" s="1">
        <v>187634.37</v>
      </c>
    </row>
    <row r="172" spans="1:9">
      <c r="A172" t="inlineStr">
        <is>
          <t>DSP-1001660021704-B-G04</t>
        </is>
      </c>
      <c r="B172" t="s">
        <v>101</v>
      </c>
      <c r="C172" t="s">
        <v>101</v>
      </c>
      <c r="D172" t="s">
        <v>2</v>
      </c>
      <c r="E172" t="s">
        <f>"075"</f>
        <v>81</v>
      </c>
      <c r="F172" t="s">
        <v>45</v>
      </c>
      <c r="G172" t="s">
        <v>46</v>
      </c>
      <c r="H172" s="1">
        <v>187634.37</v>
      </c>
    </row>
    <row r="173" spans="1:9">
      <c r="A173" t="inlineStr">
        <is>
          <t>DSP-1001660021704-B-G05</t>
        </is>
      </c>
      <c r="B173" t="s">
        <v>101</v>
      </c>
      <c r="C173" t="s">
        <v>101</v>
      </c>
      <c r="D173" t="s">
        <v>2</v>
      </c>
      <c r="E173" t="s">
        <f>"076"</f>
        <v>82</v>
      </c>
      <c r="F173" t="s">
        <v>45</v>
      </c>
      <c r="G173" t="s">
        <v>46</v>
      </c>
      <c r="H173" s="1">
        <v>282533.16999999998</v>
      </c>
    </row>
    <row r="174" spans="1:9">
      <c r="A174" t="inlineStr">
        <is>
          <t>DSP-1001660021704-B-G06</t>
        </is>
      </c>
      <c r="B174" t="s">
        <v>101</v>
      </c>
      <c r="C174" t="s">
        <v>101</v>
      </c>
      <c r="D174" t="s">
        <v>2</v>
      </c>
      <c r="E174" t="s">
        <f>"077"</f>
        <v>83</v>
      </c>
      <c r="F174" t="s">
        <v>45</v>
      </c>
      <c r="G174" t="s">
        <v>46</v>
      </c>
      <c r="H174" s="1">
        <v>282533.16999999998</v>
      </c>
    </row>
    <row r="175" spans="1:9">
      <c r="A175" t="inlineStr">
        <is>
          <t>DSP-1001660021704-B-G07</t>
        </is>
      </c>
      <c r="B175" t="s">
        <v>101</v>
      </c>
      <c r="C175" t="s">
        <v>101</v>
      </c>
      <c r="D175" t="s">
        <v>2</v>
      </c>
      <c r="E175" t="s">
        <f>"078"</f>
        <v>84</v>
      </c>
      <c r="F175" t="s">
        <v>45</v>
      </c>
      <c r="G175" t="s">
        <v>46</v>
      </c>
      <c r="H175" s="1">
        <v>282533.16999999998</v>
      </c>
    </row>
    <row r="176" spans="1:9">
      <c r="A176" t="inlineStr">
        <is>
          <t>DSP-1001660021704-B-G08</t>
        </is>
      </c>
      <c r="B176" t="s">
        <v>101</v>
      </c>
      <c r="C176" t="s">
        <v>101</v>
      </c>
      <c r="D176" t="s">
        <v>2</v>
      </c>
      <c r="E176" t="s">
        <f>"079"</f>
        <v>85</v>
      </c>
      <c r="F176" t="s">
        <v>45</v>
      </c>
      <c r="G176" t="s">
        <v>46</v>
      </c>
      <c r="H176" s="1">
        <v>282533.16999999998</v>
      </c>
    </row>
    <row r="177" spans="1:9">
      <c r="A177" t="inlineStr">
        <is>
          <t>DSP-1001660021704-B-G09</t>
        </is>
      </c>
      <c r="B177" t="s">
        <v>101</v>
      </c>
      <c r="C177" t="s">
        <v>101</v>
      </c>
      <c r="D177" t="s">
        <v>2</v>
      </c>
      <c r="E177" t="s">
        <f>"080"</f>
        <v>86</v>
      </c>
      <c r="F177" t="s">
        <v>45</v>
      </c>
      <c r="G177" t="s">
        <v>46</v>
      </c>
      <c r="H177" s="1">
        <v>282533.16999999998</v>
      </c>
    </row>
    <row r="178" spans="1:9">
      <c r="A178" t="inlineStr">
        <is>
          <t>DSP-1001660021704-B-G10</t>
        </is>
      </c>
      <c r="B178" t="s">
        <v>101</v>
      </c>
      <c r="C178" t="s">
        <v>101</v>
      </c>
      <c r="D178" t="s">
        <v>2</v>
      </c>
      <c r="E178" t="s">
        <f>"081"</f>
        <v>87</v>
      </c>
      <c r="F178" t="s">
        <v>45</v>
      </c>
      <c r="G178" t="s">
        <v>46</v>
      </c>
      <c r="H178" s="1">
        <v>282533.16999999998</v>
      </c>
    </row>
    <row r="179" spans="1:9">
      <c r="A179" t="inlineStr">
        <is>
          <t>DSP-1001660021704-B-G11</t>
        </is>
      </c>
      <c r="B179" t="s">
        <v>101</v>
      </c>
      <c r="C179" t="s">
        <v>101</v>
      </c>
      <c r="D179" t="s">
        <v>2</v>
      </c>
      <c r="E179" t="s">
        <f>"082"</f>
        <v>88</v>
      </c>
      <c r="F179" t="s">
        <v>45</v>
      </c>
      <c r="G179" t="s">
        <v>46</v>
      </c>
      <c r="H179" s="1">
        <v>282533.16999999998</v>
      </c>
    </row>
    <row r="180" spans="1:9">
      <c r="A180" t="inlineStr">
        <is>
          <t>DSP-1001660021704-B-G12</t>
        </is>
      </c>
      <c r="B180" t="s">
        <v>101</v>
      </c>
      <c r="C180" t="s">
        <v>101</v>
      </c>
      <c r="D180" t="s">
        <v>2</v>
      </c>
      <c r="E180" t="s">
        <f>"083"</f>
        <v>89</v>
      </c>
      <c r="F180" t="s">
        <v>45</v>
      </c>
      <c r="G180" t="s">
        <v>46</v>
      </c>
      <c r="H180" s="1">
        <v>196387.67000000001</v>
      </c>
    </row>
    <row r="181" spans="1:9">
      <c r="A181" t="inlineStr">
        <is>
          <t>DSP-1001660021704-B-H01</t>
        </is>
      </c>
      <c r="B181" t="s">
        <v>101</v>
      </c>
      <c r="C181" t="s">
        <v>101</v>
      </c>
      <c r="D181" t="s">
        <v>2</v>
      </c>
      <c r="E181" t="s">
        <f>"084"</f>
        <v>90</v>
      </c>
      <c r="F181" t="s">
        <v>45</v>
      </c>
      <c r="G181" t="s">
        <v>46</v>
      </c>
      <c r="H181" s="1">
        <v>132647.92000000001</v>
      </c>
    </row>
    <row r="182" spans="1:9">
      <c r="A182" t="inlineStr">
        <is>
          <t>DSP-1001660021704-B-H02</t>
        </is>
      </c>
      <c r="B182" t="s">
        <v>101</v>
      </c>
      <c r="C182" t="s">
        <v>101</v>
      </c>
      <c r="D182" t="s">
        <v>2</v>
      </c>
      <c r="E182" t="s">
        <f>"085"</f>
        <v>91</v>
      </c>
      <c r="F182" t="s">
        <v>45</v>
      </c>
      <c r="G182" t="s">
        <v>46</v>
      </c>
      <c r="H182" s="1">
        <v>89783.820000000007</v>
      </c>
    </row>
    <row r="183" spans="1:9">
      <c r="A183" t="inlineStr">
        <is>
          <t>DSP-1001660021704-B-H03</t>
        </is>
      </c>
      <c r="B183" t="s">
        <v>101</v>
      </c>
      <c r="C183" t="s">
        <v>101</v>
      </c>
      <c r="D183" t="s">
        <v>2</v>
      </c>
      <c r="E183" t="s">
        <f>"086"</f>
        <v>92</v>
      </c>
      <c r="F183" t="s">
        <v>45</v>
      </c>
      <c r="G183" t="s">
        <v>46</v>
      </c>
      <c r="H183" s="1">
        <v>295229.97999999998</v>
      </c>
    </row>
    <row r="184" spans="1:9">
      <c r="A184" t="inlineStr">
        <is>
          <t>DSP-1001660021704-B-H04</t>
        </is>
      </c>
      <c r="B184" t="s">
        <v>101</v>
      </c>
      <c r="C184" t="s">
        <v>101</v>
      </c>
      <c r="D184" t="s">
        <v>2</v>
      </c>
      <c r="E184" t="s">
        <f>"087"</f>
        <v>93</v>
      </c>
      <c r="F184" t="s">
        <v>45</v>
      </c>
      <c r="G184" t="s">
        <v>46</v>
      </c>
      <c r="H184" s="1">
        <v>282533.16999999998</v>
      </c>
    </row>
    <row r="185" spans="1:9">
      <c r="A185" t="inlineStr">
        <is>
          <t>DSP-1001660021704-B-H05</t>
        </is>
      </c>
      <c r="B185" t="s">
        <v>101</v>
      </c>
      <c r="C185" t="s">
        <v>101</v>
      </c>
      <c r="D185" t="s">
        <v>2</v>
      </c>
      <c r="E185" t="s">
        <f>"088"</f>
        <v>94</v>
      </c>
      <c r="F185" t="s">
        <v>45</v>
      </c>
      <c r="G185" t="s">
        <v>46</v>
      </c>
      <c r="H185" s="1">
        <v>282533.16999999998</v>
      </c>
    </row>
    <row r="186" spans="1:9">
      <c r="A186" t="inlineStr">
        <is>
          <t>DSP-1001660021704-B-H06</t>
        </is>
      </c>
      <c r="B186" t="s">
        <v>101</v>
      </c>
      <c r="C186" t="s">
        <v>101</v>
      </c>
      <c r="D186" t="s">
        <v>2</v>
      </c>
      <c r="E186" t="s">
        <f>"089"</f>
        <v>95</v>
      </c>
      <c r="F186" t="s">
        <v>45</v>
      </c>
      <c r="G186" t="s">
        <v>46</v>
      </c>
      <c r="H186" s="1">
        <v>282533.16999999998</v>
      </c>
    </row>
    <row r="187" spans="1:9">
      <c r="A187" t="inlineStr">
        <is>
          <t>DSP-1001660021704-B-H07</t>
        </is>
      </c>
      <c r="B187" t="s">
        <v>101</v>
      </c>
      <c r="C187" t="s">
        <v>101</v>
      </c>
      <c r="D187" t="s">
        <v>2</v>
      </c>
      <c r="E187" t="s">
        <f>"090"</f>
        <v>96</v>
      </c>
      <c r="F187" t="s">
        <v>45</v>
      </c>
      <c r="G187" t="s">
        <v>46</v>
      </c>
      <c r="H187" s="1">
        <v>282533.16999999998</v>
      </c>
    </row>
    <row r="188" spans="1:9">
      <c r="A188" t="inlineStr">
        <is>
          <t>DSP-1001660021704-B-H08</t>
        </is>
      </c>
      <c r="B188" t="s">
        <v>101</v>
      </c>
      <c r="C188" t="s">
        <v>101</v>
      </c>
      <c r="D188" t="s">
        <v>2</v>
      </c>
      <c r="E188" t="s">
        <f>"091"</f>
        <v>97</v>
      </c>
      <c r="F188" t="s">
        <v>45</v>
      </c>
      <c r="G188" t="s">
        <v>46</v>
      </c>
      <c r="H188" s="1">
        <v>319114.63</v>
      </c>
    </row>
    <row r="189" spans="1:9">
      <c r="A189" t="inlineStr">
        <is>
          <t>DSP-1001660021704-B-H09</t>
        </is>
      </c>
      <c r="B189" t="s">
        <v>101</v>
      </c>
      <c r="C189" t="s">
        <v>101</v>
      </c>
      <c r="D189" t="s">
        <v>2</v>
      </c>
      <c r="E189" t="s">
        <f>"092"</f>
        <v>98</v>
      </c>
      <c r="F189" t="s">
        <v>45</v>
      </c>
      <c r="G189" t="s">
        <v>46</v>
      </c>
      <c r="H189" s="1">
        <v>319114.63</v>
      </c>
    </row>
    <row r="190" spans="1:9">
      <c r="A190" t="inlineStr">
        <is>
          <t>DSP-1001660021704-B-H10</t>
        </is>
      </c>
      <c r="B190" t="s">
        <v>101</v>
      </c>
      <c r="C190" t="s">
        <v>101</v>
      </c>
      <c r="D190" t="s">
        <v>2</v>
      </c>
      <c r="E190" t="s">
        <f>"093"</f>
        <v>99</v>
      </c>
      <c r="F190" t="s">
        <v>45</v>
      </c>
      <c r="G190" t="s">
        <v>46</v>
      </c>
      <c r="H190" s="1">
        <v>283853.19</v>
      </c>
    </row>
    <row r="191" spans="1:9">
      <c r="A191" t="inlineStr">
        <is>
          <t>DSP-1001660021704-B-H11</t>
        </is>
      </c>
      <c r="B191" t="s">
        <v>101</v>
      </c>
      <c r="C191" t="s">
        <v>101</v>
      </c>
      <c r="D191" t="s">
        <v>2</v>
      </c>
      <c r="E191" t="s">
        <f>"094"</f>
        <v>100</v>
      </c>
      <c r="F191" t="s">
        <v>45</v>
      </c>
      <c r="G191" t="s">
        <v>46</v>
      </c>
      <c r="H191" s="1">
        <v>428769.78000000003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2025-03-06T22:16:10Z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